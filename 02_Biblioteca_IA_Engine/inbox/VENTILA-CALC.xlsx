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5E55270-10E0-4DDE-95E0-808507202A43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🏠 INÍCIO" sheetId="1" r:id="rId1"/>
    <sheet name="📊 GASOMETRIA" sheetId="2" r:id="rId2"/>
    <sheet name="🫁 MECÂNICA" sheetId="3" r:id="rId3"/>
    <sheet name="⚙️ PEEP-FiO2" sheetId="4" r:id="rId4"/>
    <sheet name="🌬️ ROX-HACOR" sheetId="5" r:id="rId5"/>
    <sheet name="📋 RECEITAS" sheetId="6" r:id="rId6"/>
    <sheet name="📚 REFERÊNCIA" sheetId="7" r:id="rId7"/>
  </sheets>
  <definedNames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2"/>
  <c r="C37" i="2"/>
  <c r="E37" i="2"/>
  <c r="C23" i="2"/>
  <c r="E16" i="2"/>
  <c r="E18" i="2"/>
  <c r="C29" i="2"/>
  <c r="C25" i="2"/>
  <c r="B44" i="2"/>
  <c r="E33" i="2"/>
  <c r="C24" i="2"/>
  <c r="E24" i="2"/>
  <c r="E41" i="2"/>
  <c r="C41" i="2"/>
  <c r="C26" i="2"/>
  <c r="C22" i="2"/>
  <c r="E31" i="2"/>
  <c r="E19" i="2"/>
  <c r="E17" i="2"/>
  <c r="C36" i="2"/>
  <c r="E36" i="2"/>
  <c r="C32" i="2"/>
  <c r="C9" i="3"/>
  <c r="C22" i="3"/>
  <c r="E22" i="3"/>
  <c r="B31" i="3"/>
  <c r="E28" i="3"/>
  <c r="C28" i="3"/>
  <c r="C12" i="3"/>
  <c r="E27" i="3"/>
  <c r="C27" i="3"/>
  <c r="C25" i="3"/>
  <c r="E25" i="3"/>
  <c r="C26" i="3"/>
  <c r="C11" i="3"/>
  <c r="E21" i="3"/>
  <c r="C21" i="3"/>
  <c r="C10" i="3"/>
  <c r="C24" i="3"/>
  <c r="C23" i="3"/>
  <c r="E23" i="3"/>
  <c r="C18" i="4"/>
  <c r="C19" i="4"/>
  <c r="E19" i="4"/>
  <c r="C17" i="4"/>
  <c r="E9" i="5"/>
  <c r="I17" i="5"/>
  <c r="E22" i="5"/>
  <c r="C22" i="5"/>
  <c r="E11" i="5"/>
  <c r="I20" i="5"/>
  <c r="I16" i="5"/>
  <c r="I18" i="5"/>
  <c r="E8" i="5"/>
  <c r="C8" i="5"/>
  <c r="I19" i="5"/>
  <c r="E10" i="5"/>
  <c r="E17" i="6"/>
  <c r="E16" i="6"/>
  <c r="E9" i="6"/>
  <c r="E10" i="6"/>
  <c r="E12" i="6"/>
  <c r="E13" i="6"/>
  <c r="E18" i="6"/>
  <c r="E11" i="6"/>
  <c r="E15" i="6"/>
  <c r="E14" i="6"/>
  <c r="B25" i="1"/>
  <c r="I21" i="1"/>
  <c r="E21" i="1"/>
  <c r="C21" i="1"/>
  <c r="I20" i="1"/>
  <c r="C20" i="1"/>
  <c r="E20" i="1"/>
  <c r="I9" i="1"/>
  <c r="C9" i="1"/>
  <c r="E9" i="1"/>
  <c r="G9" i="1"/>
  <c r="J13" i="1"/>
  <c r="F22" i="1"/>
  <c r="C22" i="1"/>
  <c r="J22" i="1"/>
</calcChain>
</file>

<file path=xl/sharedStrings.xml><?xml version="1.0" encoding="utf-8"?>
<sst xmlns="http://schemas.openxmlformats.org/spreadsheetml/2006/main" count="383" uniqueCount="342">
  <si>
    <t>VENTILA-CALC  🫁  Calculadora Ventilatória Interativa</t>
  </si>
  <si>
    <t>Dr. Aldenir Rocha — CRM 16.587 / RQE 11.846 — UTI Sobral/CE</t>
  </si>
  <si>
    <t>👤  IDENTIFICAÇÃO DO PACIENTE</t>
  </si>
  <si>
    <t>Nome / Leito</t>
  </si>
  <si>
    <t>— preencher —</t>
  </si>
  <si>
    <t>Diagnóstico</t>
  </si>
  <si>
    <t>Idade (anos)</t>
  </si>
  <si>
    <t>Sexo</t>
  </si>
  <si>
    <t>M</t>
  </si>
  <si>
    <t>Altura (cm)</t>
  </si>
  <si>
    <t>Peso atual (kg)</t>
  </si>
  <si>
    <t>PCI — Peso Corporal Ideal (kg)</t>
  </si>
  <si>
    <t>Vt 6 mL/kg</t>
  </si>
  <si>
    <t>Vt 4 mL/kg (SARA grave)</t>
  </si>
  <si>
    <t>Vt 8 mL/kg (máx)</t>
  </si>
  <si>
    <t>🩸  GASOMETRIA ARTERIAL</t>
  </si>
  <si>
    <t>pH</t>
  </si>
  <si>
    <r>
      <rPr>
        <rFont val="Calibri"/>
        <sz val="11.00"/>
        <b/>
        <color rgb="FFFFFFFF"/>
        <family val="2"/>
      </rPr>
      <t xml:space="preserve">PaCO₂
</t>
    </r>
    <r>
      <t>(mmHg)</t>
    </r>
  </si>
  <si>
    <r>
      <rPr>
        <rFont val="Calibri"/>
        <sz val="11.00"/>
        <b/>
        <color rgb="FFFFFFFF"/>
        <family val="2"/>
      </rPr>
      <t xml:space="preserve">PaO₂
</t>
    </r>
    <r>
      <t>(mmHg)</t>
    </r>
  </si>
  <si>
    <r>
      <rPr>
        <rFont val="Calibri"/>
        <sz val="11.00"/>
        <b/>
        <color rgb="FFFFFFFF"/>
        <family val="2"/>
      </rPr>
      <t xml:space="preserve">HCO₃⁻
</t>
    </r>
    <r>
      <t>(mEq/L)</t>
    </r>
  </si>
  <si>
    <r>
      <rPr>
        <rFont val="Calibri"/>
        <sz val="11.00"/>
        <b/>
        <color rgb="FFFFFFFF"/>
        <family val="2"/>
      </rPr>
      <t xml:space="preserve">BE
</t>
    </r>
    <r>
      <t>(mEq/L)</t>
    </r>
  </si>
  <si>
    <r>
      <rPr>
        <rFont val="Calibri"/>
        <sz val="11.00"/>
        <b/>
        <color rgb="FFFFFFFF"/>
        <family val="2"/>
      </rPr>
      <t xml:space="preserve">Lactato
</t>
    </r>
    <r>
      <t>(mmol/L)</t>
    </r>
  </si>
  <si>
    <r>
      <rPr>
        <rFont val="Calibri"/>
        <sz val="11.00"/>
        <b/>
        <color rgb="FFFFFFFF"/>
        <family val="2"/>
      </rPr>
      <t xml:space="preserve">SaO₂
</t>
    </r>
    <r>
      <t>(%)</t>
    </r>
  </si>
  <si>
    <r>
      <rPr>
        <rFont val="Calibri"/>
        <sz val="11.00"/>
        <b/>
        <color rgb="FFFFFFFF"/>
        <family val="2"/>
      </rPr>
      <t xml:space="preserve">PaO₂/FiO₂
</t>
    </r>
    <r>
      <t>(P/F)</t>
    </r>
  </si>
  <si>
    <t>🩺  SINAIS VITAIS &amp; FiO₂</t>
  </si>
  <si>
    <r>
      <rPr>
        <rFont val="Calibri"/>
        <sz val="11.00"/>
        <b/>
        <color rgb="FFFFFFFF"/>
        <family val="2"/>
      </rPr>
      <t xml:space="preserve">FR
</t>
    </r>
    <r>
      <t>(ipm)</t>
    </r>
  </si>
  <si>
    <r>
      <rPr>
        <rFont val="Calibri"/>
        <sz val="11.00"/>
        <b/>
        <color rgb="FFFFFFFF"/>
        <family val="2"/>
      </rPr>
      <t xml:space="preserve">FC
</t>
    </r>
    <r>
      <t>(bpm)</t>
    </r>
  </si>
  <si>
    <r>
      <rPr>
        <rFont val="Calibri"/>
        <sz val="11.00"/>
        <b/>
        <color rgb="FFFFFFFF"/>
        <family val="2"/>
      </rPr>
      <t xml:space="preserve">PAS
</t>
    </r>
    <r>
      <t>(mmHg)</t>
    </r>
  </si>
  <si>
    <r>
      <rPr>
        <rFont val="Calibri"/>
        <sz val="11.00"/>
        <b/>
        <color rgb="FFFFFFFF"/>
        <family val="2"/>
      </rPr>
      <t xml:space="preserve">PAD
</t>
    </r>
    <r>
      <t>(mmHg)</t>
    </r>
  </si>
  <si>
    <r>
      <rPr>
        <rFont val="Calibri"/>
        <sz val="11.00"/>
        <b/>
        <color rgb="FFFFFFFF"/>
        <family val="2"/>
      </rPr>
      <t xml:space="preserve">SpO₂
</t>
    </r>
    <r>
      <t>(%)</t>
    </r>
  </si>
  <si>
    <t>Glasgow</t>
  </si>
  <si>
    <r>
      <rPr>
        <rFont val="Calibri"/>
        <sz val="11.00"/>
        <b/>
        <color rgb="FFFFFFFF"/>
        <family val="2"/>
      </rPr>
      <t xml:space="preserve">Tax
</t>
    </r>
    <r>
      <t>(°C)</t>
    </r>
  </si>
  <si>
    <r>
      <rPr>
        <rFont val="Calibri"/>
        <sz val="11.00"/>
        <b/>
        <color rgb="FFFFFFFF"/>
        <family val="2"/>
      </rPr>
      <t xml:space="preserve">FiO₂
</t>
    </r>
    <r>
      <t>(0–1)</t>
    </r>
  </si>
  <si>
    <t>📊  ÍNDICES &amp; DASHBOARD CLÍNICO</t>
  </si>
  <si>
    <t>🫁  PaO₂/FiO₂ (P/F)</t>
  </si>
  <si>
    <t>🫁  Categoria SARA</t>
  </si>
  <si>
    <t>🚨  Pronação?</t>
  </si>
  <si>
    <t>🌬️  ROX = (SpO₂/FiO₂)/FR</t>
  </si>
  <si>
    <t>🌬️  Status ROX (em 2h)</t>
  </si>
  <si>
    <t>🩺  Glasgow status</t>
  </si>
  <si>
    <t>⚖️  Status pH</t>
  </si>
  <si>
    <t>⚖️  Distúrbio Primário</t>
  </si>
  <si>
    <t>⚖️  Lactato</t>
  </si>
  <si>
    <t>🎯  CONDUTA SUGERIDA — ALGORITMO INTEGRADO</t>
  </si>
  <si>
    <t>💡  COMO USAR: Preencha as células AMARELAS (inputs em azul-negrito). Os resultados em AZUL-CLARO são automáticos.</t>
  </si>
  <si>
    <t>🩺  Veja as outras abas: 📊 Gasometria detalhada • 📐 Mecânica/PCI/Vt • ⚙️ PEEP-FiO₂ • 🌬️ ROX/HACOR • 📋 Receitas • 📚 Referência</t>
  </si>
  <si>
    <t>⚠️  Esta calculadora é APOIO À DECISÃO. Sempre individualize com julgamento clínico, exame físico e diretrizes locais.</t>
  </si>
  <si>
    <t>📊  GASOMETRIA ARTERIAL — ANÁLISE COMPLETA</t>
  </si>
  <si>
    <t>Análise sistematizada em 6 passos: pH → PaCO₂ → HCO₃⁻ → compensação → AG → Δ-Δ</t>
  </si>
  <si>
    <t>🔢  INSERIR VALORES GASOMETRIA</t>
  </si>
  <si>
    <t>BE (mEq/L)</t>
  </si>
  <si>
    <t>PaCO₂ (mmHg)</t>
  </si>
  <si>
    <t>Lactato (mmol/L)</t>
  </si>
  <si>
    <t>PaO₂ (mmHg)</t>
  </si>
  <si>
    <t>SaO₂ (%)</t>
  </si>
  <si>
    <t>HCO₃⁻ (mEq/L)</t>
  </si>
  <si>
    <t>FiO₂ (fração 0–1)</t>
  </si>
  <si>
    <t>🧪  ELETRÓLITOS (para Anion Gap)</t>
  </si>
  <si>
    <t>Na⁺ (mEq/L)</t>
  </si>
  <si>
    <t>K⁺ (mEq/L)</t>
  </si>
  <si>
    <t>Cl⁻ (mEq/L)</t>
  </si>
  <si>
    <t>Albumina (g/dL)</t>
  </si>
  <si>
    <t>🧭  ANÁLISE EM 6 PASSOS</t>
  </si>
  <si>
    <t>1️⃣  pH — Acidemia / Alcalemia / Normal</t>
  </si>
  <si>
    <t>2️⃣  PaCO₂ — Componente respiratório</t>
  </si>
  <si>
    <t>3️⃣  HCO₃⁻ — Componente metabólico</t>
  </si>
  <si>
    <t>4️⃣  Distúrbio Primário (heurística)</t>
  </si>
  <si>
    <t>🧮  PASSO 5 — COMPENSAÇÃO ESPERADA</t>
  </si>
  <si>
    <t>PaCO₂ esperado — Winter (Ac. metabólica)</t>
  </si>
  <si>
    <t>   ± 2 mmHg — válido se distúrbio primário é acidose metabólica</t>
  </si>
  <si>
    <t>PaCO₂ medido</t>
  </si>
  <si>
    <t>Δ vs esperado</t>
  </si>
  <si>
    <t>Interpretação Winter</t>
  </si>
  <si>
    <t>HCO₃⁻ esperado — Ac. Resp. AGUDA</t>
  </si>
  <si>
    <t>   ↑ HCO₃⁻ 1 mEq para cada ↑ 10 mmHg PaCO₂</t>
  </si>
  <si>
    <t>HCO₃⁻ esperado — Ac. Resp. CRÔNICA</t>
  </si>
  <si>
    <t>   ↑ HCO₃⁻ 3,5 mEq para cada ↑ 10 mmHg PaCO₂</t>
  </si>
  <si>
    <t>🧪  PASSO 6 — ANION GAP &amp; DELTA-DELTA</t>
  </si>
  <si>
    <t>Anion Gap = Na⁺ − (Cl⁻ + HCO₃⁻)</t>
  </si>
  <si>
    <t>   Normal 8–12</t>
  </si>
  <si>
    <t>AG corrigido = AG + 2,5×(4−Albumina)</t>
  </si>
  <si>
    <t>   Hipoalbuminemia mascara AG ↑</t>
  </si>
  <si>
    <t>Status Anion Gap</t>
  </si>
  <si>
    <t>Δ-Δ = (AG−12) / (24−HCO₃⁻)</t>
  </si>
  <si>
    <t>Interpretação Δ-Δ</t>
  </si>
  <si>
    <t>🫁  ÍNDICES DE OXIGENAÇÃO</t>
  </si>
  <si>
    <t>PaO₂/FiO₂ (Berlin) — P/F ratio</t>
  </si>
  <si>
    <t>Categoria SARA</t>
  </si>
  <si>
    <t>P(A−a)O₂ a nível do mar</t>
  </si>
  <si>
    <t>Status A−a</t>
  </si>
  <si>
    <t>Gradiente A-a esperado p/ idade</t>
  </si>
  <si>
    <t>Esperado ≈ idade/4 + 4 (varia por idade do paciente)</t>
  </si>
  <si>
    <t>🩸  LACTATO — DECODIFICAÇÃO CLÍNICA</t>
  </si>
  <si>
    <t>Lactato (valor)</t>
  </si>
  <si>
    <t>Status &amp; Conduta</t>
  </si>
  <si>
    <t>🎯  SÍNTESE DIAGNÓSTICA</t>
  </si>
  <si>
    <t>🫁  MECÂNICA RESPIRATÓRIA &amp; VENTILAÇÃO PROTETORA</t>
  </si>
  <si>
    <t>Calcule PCI, Vt-alvo, ΔP, complacência, resistência e Mechanical Power à beira-leito.</t>
  </si>
  <si>
    <t>📐  PESO CORPORAL IDEAL &amp; VOLUME CORRENTE</t>
  </si>
  <si>
    <t>Sexo (M/F)</t>
  </si>
  <si>
    <t>PCI calculado (kg)</t>
  </si>
  <si>
    <t>Vt mínimo seguro — 4 mL/kg PCI</t>
  </si>
  <si>
    <t>   SARA grave / hipercapnia permissiva</t>
  </si>
  <si>
    <t>Vt-alvo padrão — 6 mL/kg PCI</t>
  </si>
  <si>
    <t>   ARDSnet — ALVO TERAPÊUTICO PRINCIPAL</t>
  </si>
  <si>
    <t>Vt máximo — 8 mL/kg PCI</t>
  </si>
  <si>
    <t>   Limite superior — pulmão sem patologia</t>
  </si>
  <si>
    <t>⚙️  PARÂMETROS DO VENTILADOR</t>
  </si>
  <si>
    <t>Vt entregue (mL)</t>
  </si>
  <si>
    <t>P-pico (cmH₂O)</t>
  </si>
  <si>
    <t>FR (ipm)</t>
  </si>
  <si>
    <t>P-platô (cmH₂O)</t>
  </si>
  <si>
    <t>PEEP set (cmH₂O)</t>
  </si>
  <si>
    <t>PEEP total (pausa exp)</t>
  </si>
  <si>
    <t>FiO₂ (fração)</t>
  </si>
  <si>
    <t>Fluxo inspiratório (L/min)</t>
  </si>
  <si>
    <t>🧮  CÁLCULOS DE MECÂNICA &amp; PROTEÇÃO</t>
  </si>
  <si>
    <t>Auto-PEEP (PEEPi) = PEEP total − PEEP set</t>
  </si>
  <si>
    <t>Status Auto-PEEP</t>
  </si>
  <si>
    <t>⭐ Driving Pressure (ΔP) = P-platô − PEEP total</t>
  </si>
  <si>
    <t>⭐ Status ΔP (Amato 2015)</t>
  </si>
  <si>
    <t>Complacência Estática (Cst) = Vt / ΔP</t>
  </si>
  <si>
    <t>Status Cst</t>
  </si>
  <si>
    <t>Complacência Dinâmica (Cdyn) = Vt / (P-pico − PEEP)</t>
  </si>
  <si>
    <t>Resistência VA (Raw) = (P-pico − P-platô) / Fluxo (L/s)</t>
  </si>
  <si>
    <t>Status Raw</t>
  </si>
  <si>
    <t>Status P-platô</t>
  </si>
  <si>
    <t>Mechanical Power (MP) = 0,098 × FR × Vt × (P-pico − ½ ΔP)</t>
  </si>
  <si>
    <t>Status MP</t>
  </si>
  <si>
    <t>Vt / PCI (mL/kg) — verificação</t>
  </si>
  <si>
    <t>Status</t>
  </si>
  <si>
    <t>🔍  DIAGNÓSTICO DIFERENCIAL — P-pico ALTA</t>
  </si>
  <si>
    <t>⚙️  TABELA ARDSnet — PEEP × FiO₂  +  AJUSTADOR</t>
  </si>
  <si>
    <t>Entre com a FiO₂ atual e o sistema sugere PEEP por estratégia (LOW vs HIGH PEEP).</t>
  </si>
  <si>
    <t>🔢  ENTRADA</t>
  </si>
  <si>
    <t>FiO₂ atual (decimal 0–1)</t>
  </si>
  <si>
    <t>Estratégia</t>
  </si>
  <si>
    <t>LOW</t>
  </si>
  <si>
    <t>   LOW = lower PEEP table (pulmão pouco recrutável) • HIGH = SARA grave/recrutável</t>
  </si>
  <si>
    <t>📋  TABELA — LOWER PEEP STRATEGY (ALVEOLI 2004)</t>
  </si>
  <si>
    <t>FiO₂</t>
  </si>
  <si>
    <t>PEEP</t>
  </si>
  <si>
    <t>📋  TABELA — HIGHER PEEP STRATEGY (LOVS 2008 / SARA grave)</t>
  </si>
  <si>
    <t>🎯  PEEP SUGERIDA (com base na FiO₂ inserida)</t>
  </si>
  <si>
    <t>PEEP sugerida — LOW PEEP</t>
  </si>
  <si>
    <t>PEEP sugerida — HIGH PEEP</t>
  </si>
  <si>
    <t>PEEP recomendada (estratégia escolhida)</t>
  </si>
  <si>
    <t>Recomendação</t>
  </si>
  <si>
    <t>💡  PEEP individualizada: alternativas à tabela são titulação por ΔP mínima, complacência máxima, P-platô-transpulmonar, EIT, ECO-pulmão.</t>
  </si>
  <si>
    <t>⚠️  ART Trial 2017: manobras agressivas de recrutamento (PEEP &gt; 35) aumentaram mortalidade — preferir titulação cuidadosa.</t>
  </si>
  <si>
    <t>🌬️  ÍNDICES ROX (CBAF) e HACOR (VNI)</t>
  </si>
  <si>
    <t>Predição de falha em CBAF (ROX) e VNI (HACOR) — orienta IOT precoce.</t>
  </si>
  <si>
    <t>🌬️  ÍNDICE ROX — CBAF</t>
  </si>
  <si>
    <t>SpO₂ (%)</t>
  </si>
  <si>
    <t>Hora aferição</t>
  </si>
  <si>
    <t>2h</t>
  </si>
  <si>
    <t>ROX = (SpO₂/FiO₂) / FR</t>
  </si>
  <si>
    <t>Status (em 2h)</t>
  </si>
  <si>
    <t>Status (em 6h)</t>
  </si>
  <si>
    <t>Status (em 12h)</t>
  </si>
  <si>
    <t>Veredicto (hora atual selecionada)</t>
  </si>
  <si>
    <t>📚 ROX (Roca 2019, AJRCCM) — combina oxigenação + esforço ventilatório. Menos confiável em DPOC/IRpA hipercápnica.</t>
  </si>
  <si>
    <t>🩺  ESCALA HACOR — Falha de VNI (1h)</t>
  </si>
  <si>
    <t>Variável</t>
  </si>
  <si>
    <t>Valor</t>
  </si>
  <si>
    <t>Pontos</t>
  </si>
  <si>
    <t>Heart Rate (bpm)</t>
  </si>
  <si>
    <t>≤ 120</t>
  </si>
  <si>
    <t>121–140</t>
  </si>
  <si>
    <t>—</t>
  </si>
  <si>
    <t>≥ 7,35</t>
  </si>
  <si>
    <t>7,30–7,34</t>
  </si>
  <si>
    <t>7,25–7,29</t>
  </si>
  <si>
    <t>&lt; 7,25</t>
  </si>
  <si>
    <t>Glasgow (GCS)</t>
  </si>
  <si>
    <t>13–14</t>
  </si>
  <si>
    <t>11–12</t>
  </si>
  <si>
    <t>≤ 10</t>
  </si>
  <si>
    <t>PaO₂/FiO₂</t>
  </si>
  <si>
    <t>≥ 201</t>
  </si>
  <si>
    <t>176–200</t>
  </si>
  <si>
    <t>151–175</t>
  </si>
  <si>
    <t>126–150</t>
  </si>
  <si>
    <t>≤ 125</t>
  </si>
  <si>
    <t>Frequência Respiratória</t>
  </si>
  <si>
    <t>≤ 30</t>
  </si>
  <si>
    <t>31–35</t>
  </si>
  <si>
    <t>36–40</t>
  </si>
  <si>
    <t>41–45</t>
  </si>
  <si>
    <t>&gt; 45</t>
  </si>
  <si>
    <t>TOTAL HACOR</t>
  </si>
  <si>
    <t>Veredicto HACOR (em 1h)</t>
  </si>
  <si>
    <t>📚 HACOR (Duan 2017, ICM): Sens 73%, Esp 90% para predizer falha de VNI em 1h. Não atrasar IOT após falha (Thille 2018).</t>
  </si>
  <si>
    <t>📋  RECEITAS DE PARÂMETROS INICIAIS — SETUP DO VENTILADOR</t>
  </si>
  <si>
    <t>Configurações iniciais sugeridas. Insira o PCI do paciente para Vt automático.</t>
  </si>
  <si>
    <t>PCI do paciente (kg) — entre aqui</t>
  </si>
  <si>
    <t>📋  PARÂMETROS POR CENÁRIO CLÍNICO</t>
  </si>
  <si>
    <t>Cenário</t>
  </si>
  <si>
    <t>Modo</t>
  </si>
  <si>
    <t>Vt (mL/kg)</t>
  </si>
  <si>
    <t>Vt (mL)</t>
  </si>
  <si>
    <t>I:E</t>
  </si>
  <si>
    <t>Alvos / Observações</t>
  </si>
  <si>
    <t>Pulmão sem patologia</t>
  </si>
  <si>
    <t>VCV/PCV</t>
  </si>
  <si>
    <t>12–16</t>
  </si>
  <si>
    <t>0,4</t>
  </si>
  <si>
    <t>1:2</t>
  </si>
  <si>
    <t>SpO₂ 94–98%; protetiva por princípio</t>
  </si>
  <si>
    <t>SARA leve (P/F 200–300)</t>
  </si>
  <si>
    <t>VCV</t>
  </si>
  <si>
    <t>16–22</t>
  </si>
  <si>
    <t>8–10</t>
  </si>
  <si>
    <t>0,5</t>
  </si>
  <si>
    <t>P-platô ≤30; ΔP ≤14; SpO₂ 92–96%</t>
  </si>
  <si>
    <t>SARA moderada (100–200)</t>
  </si>
  <si>
    <t>20–28</t>
  </si>
  <si>
    <t>10–14</t>
  </si>
  <si>
    <t>0,6–0,8</t>
  </si>
  <si>
    <t>P-platô ≤30; ΔP ≤14; reavaliar pronação</t>
  </si>
  <si>
    <t>SARA grave (P/F &lt; 100)</t>
  </si>
  <si>
    <t>25–35</t>
  </si>
  <si>
    <t>14–20</t>
  </si>
  <si>
    <t>0,8–1,0</t>
  </si>
  <si>
    <t>PRONAÇÃO + BNM 48h; ΔP ≤13; ECMO?</t>
  </si>
  <si>
    <t>DPOC exacerbado</t>
  </si>
  <si>
    <t>8–12</t>
  </si>
  <si>
    <t>0–5</t>
  </si>
  <si>
    <t>0,3–0,5</t>
  </si>
  <si>
    <t>1:3-1:5</t>
  </si>
  <si>
    <t>SpO₂ 88–92%; cuidado auto-PEEP</t>
  </si>
  <si>
    <t>Asma grave / quase-fatal</t>
  </si>
  <si>
    <t>0,4–0,6</t>
  </si>
  <si>
    <t>1:4-1:5</t>
  </si>
  <si>
    <t>Hipercapnia permissiva (pH ≥7,2)</t>
  </si>
  <si>
    <t>Pós-PCR</t>
  </si>
  <si>
    <t>12–14</t>
  </si>
  <si>
    <t>5–8</t>
  </si>
  <si>
    <t>Mínima</t>
  </si>
  <si>
    <t>PaCO₂ 35–45; SpO₂ 94–96%; alvo controle T</t>
  </si>
  <si>
    <t>TCE / HIC</t>
  </si>
  <si>
    <t>p/PaO₂≥100</t>
  </si>
  <si>
    <t>PaCO₂ 35–38; cabeceira 30°; sedoanalgesia</t>
  </si>
  <si>
    <t>Edema pulmonar / EAP</t>
  </si>
  <si>
    <t>PSV/PCV</t>
  </si>
  <si>
    <t>15–20</t>
  </si>
  <si>
    <t>Diurético, vasodilatador, reduzir pré-carga</t>
  </si>
  <si>
    <t>Imunossuprimido c/ IRpA</t>
  </si>
  <si>
    <t>VNI/VCV</t>
  </si>
  <si>
    <t>18–24</t>
  </si>
  <si>
    <t>Tentar VNI inicial; IOT precoce se falha</t>
  </si>
  <si>
    <t>📚  REFERÊNCIA RÁPIDA — FÓRMULAS, ALVOS E TABELAS</t>
  </si>
  <si>
    <t>Quadro de consulta de plantão — todas as fórmulas e alvos terapêuticos.</t>
  </si>
  <si>
    <t>🧮  FÓRMULAS ESSENCIAIS</t>
  </si>
  <si>
    <t>Cálculo</t>
  </si>
  <si>
    <t>Fórmula</t>
  </si>
  <si>
    <t>Observações</t>
  </si>
  <si>
    <t>PCI Homem</t>
  </si>
  <si>
    <t>PCI = 50 + 0,91 × (altura cm − 152,4)</t>
  </si>
  <si>
    <t>Devine 1974</t>
  </si>
  <si>
    <t>PCI Mulher</t>
  </si>
  <si>
    <t>PCI = 45,5 + 0,91 × (altura cm − 152,4)</t>
  </si>
  <si>
    <t>Vt-alvo SARA</t>
  </si>
  <si>
    <t>Vt = 6 mL/kg × PCI (faixa 4–8)</t>
  </si>
  <si>
    <t>ARDSnet 2000</t>
  </si>
  <si>
    <t>Driving Pressure</t>
  </si>
  <si>
    <t>ΔP = P-platô − PEEP total</t>
  </si>
  <si>
    <t>Amato 2015 — alvo ≤14</t>
  </si>
  <si>
    <t>Complacência Estática</t>
  </si>
  <si>
    <t>Cst = Vt / ΔP</t>
  </si>
  <si>
    <t>Normal 60–100 mL/cmH₂O</t>
  </si>
  <si>
    <t>Complacência Dinâmica</t>
  </si>
  <si>
    <t>Cdyn = Vt / (P-pico − PEEP)</t>
  </si>
  <si>
    <t>Inclui resistência</t>
  </si>
  <si>
    <t>Resistência VA</t>
  </si>
  <si>
    <t>Raw = (P-pico − P-platô) / Fluxo (L/s)</t>
  </si>
  <si>
    <t>Normal &lt;10 cmH₂O/L/s</t>
  </si>
  <si>
    <t>Mechanical Power</t>
  </si>
  <si>
    <t>MP = 0,098 × FR × Vt × (P-pico − ½ΔP)</t>
  </si>
  <si>
    <t>Alvo &lt;17 J/min</t>
  </si>
  <si>
    <t>FiO₂ por CN-O₂</t>
  </si>
  <si>
    <t>FiO₂ ≈ 21% + 4 × (L/min)</t>
  </si>
  <si>
    <t>Válido 1–6 L/min</t>
  </si>
  <si>
    <t>Índice ROX</t>
  </si>
  <si>
    <t>Roca 2019 — alvo ≥4,88</t>
  </si>
  <si>
    <t>RSBI / Tobin</t>
  </si>
  <si>
    <t>RSBI = FR / Vt (L)</t>
  </si>
  <si>
    <t>Yang &amp; Tobin 1991 — alvo &lt;105</t>
  </si>
  <si>
    <t>PaO₂/FiO₂ (P/F)</t>
  </si>
  <si>
    <t>P/F = PaO₂ / FiO₂ (decimal)</t>
  </si>
  <si>
    <t>Berlin: ≤300 SARA</t>
  </si>
  <si>
    <t>Gradiente A-a</t>
  </si>
  <si>
    <t>(A−a) = FiO₂×(760−47) − PaCO₂/0,8 − PaO₂</t>
  </si>
  <si>
    <t>Normal &lt;15 (jovem)</t>
  </si>
  <si>
    <t>Anion Gap</t>
  </si>
  <si>
    <t>AG = Na⁺ − (Cl⁻ + HCO₃⁻)</t>
  </si>
  <si>
    <t>Normal 8–12</t>
  </si>
  <si>
    <t>AG corrigido</t>
  </si>
  <si>
    <t>AGc = AG + 2,5×(4 − Albumina g/dL)</t>
  </si>
  <si>
    <t>Hipoalb. mascara AG ↑</t>
  </si>
  <si>
    <t>Winter (PaCO₂ esperado)</t>
  </si>
  <si>
    <t>PaCO₂ esp = (1,5 × HCO₃⁻) + 8 ± 2</t>
  </si>
  <si>
    <t>Acidose metabólica</t>
  </si>
  <si>
    <t>Δ-Δ</t>
  </si>
  <si>
    <t>ΔΔ = (AG − 12) / (24 − HCO₃⁻)</t>
  </si>
  <si>
    <t>&lt;1 hipercl • 1–2 puro • &gt;2 alc</t>
  </si>
  <si>
    <t>Auto-PEEP</t>
  </si>
  <si>
    <t>Auto-PEEP = PEEP total − PEEP set</t>
  </si>
  <si>
    <t>Pausa expiratória 2–4s</t>
  </si>
  <si>
    <t>Vd/Vt (Bohr-Enghoff)</t>
  </si>
  <si>
    <t>Vd/Vt = (PaCO₂ − PetCO₂) / PaCO₂</t>
  </si>
  <si>
    <t>Normal &lt;0,3</t>
  </si>
  <si>
    <t>HCO₃⁻ esp Ac.Resp aguda</t>
  </si>
  <si>
    <t>↑ HCO₃⁻ = 1 × (↑PaCO₂ / 10)</t>
  </si>
  <si>
    <t>&lt;48h</t>
  </si>
  <si>
    <t>HCO₃⁻ esp Ac.Resp crônica</t>
  </si>
  <si>
    <t>↑ HCO₃⁻ = 3,5 × (↑PaCO₂ / 10)</t>
  </si>
  <si>
    <t>&gt;3 dias</t>
  </si>
  <si>
    <t>🎯  ALVOS TERAPÊUTICOS POR CENÁRIO</t>
  </si>
  <si>
    <t>Alvos</t>
  </si>
  <si>
    <t>Pulmão sadio</t>
  </si>
  <si>
    <t>SpO₂ 94–98% • Vt 6–8 mL/kg • Pplat &lt;25 • ΔP &lt;12</t>
  </si>
  <si>
    <t>SARA leve</t>
  </si>
  <si>
    <t>SpO₂ 92–96% • Vt 6–8 mL/kg • Pplat &lt;28 • ΔP &lt;14</t>
  </si>
  <si>
    <t>SARA moderada</t>
  </si>
  <si>
    <t>SpO₂ 92–96% • Vt 6 mL/kg • Pplat &lt;30 • ΔP &lt;14</t>
  </si>
  <si>
    <t>SARA grave</t>
  </si>
  <si>
    <t>SpO₂ 88–94% • Vt 4–6 mL/kg • Pplat &lt;28 • ΔP &lt;13</t>
  </si>
  <si>
    <t>DPOC</t>
  </si>
  <si>
    <t>SpO₂ 88–92% • Vt 6–8 • Pplat &lt;30 • TE longo</t>
  </si>
  <si>
    <t>Asma grave</t>
  </si>
  <si>
    <t>SpO₂ 92–96% • Vt 6–8 • Pplat &lt;30 • hipercapnia perm.</t>
  </si>
  <si>
    <t>SpO₂ ≥95% • PaCO₂ 35–38 • Pplat &lt;30 • ΔP &lt;14</t>
  </si>
  <si>
    <t>🚨  RED FLAGS — IOT IMEDIATA</t>
  </si>
  <si>
    <t>🔴  Glasgow ≤ 8 ou queda rápida do nível de consciência</t>
  </si>
  <si>
    <t>🔴  Parada cardiorrespiratória / arritmia maligna</t>
  </si>
  <si>
    <t>🔴  SpO₂ &lt; 88% com FiO₂ 100% em CBAF/VNI por &gt; 1h</t>
  </si>
  <si>
    <t>🔴  pH &lt; 7,20 progressivo apesar de VNI bem ajustada</t>
  </si>
  <si>
    <t>🔴  HACOR ≥ 6 em 1h de VNI; ROX &lt; 2,85 em 2h CBAF</t>
  </si>
  <si>
    <t>🔴  Fadiga muscular evidente, paradoxia abdominal</t>
  </si>
  <si>
    <t>🔴  Choque grave com hipoxemia refratária</t>
  </si>
  <si>
    <t>🔴  Incapacidade de proteger via aérea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</si>
</sst>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rial"/>
      <family val="2"/>
      <scheme val="minor"/>
    </font>
    <font>
      <name val="Calibri"/>
      <sz val="11.00"/>
      <b/>
      <color rgb="FF0000FF"/>
      <family val="2"/>
    </font>
    <font>
      <name val="Calibri"/>
      <sz val="11.00"/>
      <color rgb="FF000000"/>
      <family val="2"/>
    </font>
    <font>
      <name val="Calibri"/>
      <sz val="11.00"/>
      <b/>
      <color rgb="FFC00000"/>
      <family val="2"/>
    </font>
    <font>
      <name val="Calibri"/>
      <sz val="20.00"/>
      <b/>
      <color rgb="FF1F4E79"/>
      <family val="2"/>
    </font>
    <font>
      <name val="Calibri"/>
      <sz val="11.00"/>
      <b/>
      <color rgb="FFFFFFFF"/>
      <family val="2"/>
    </font>
    <font>
      <name val="Calibri"/>
      <sz val="9.00"/>
      <i/>
      <color rgb="FF595959"/>
      <family val="2"/>
    </font>
    <font>
      <name val="Calibri"/>
      <sz val="12.00"/>
      <b/>
      <color rgb="FF000000"/>
      <family val="2"/>
    </font>
    <font>
      <name val="Calibri"/>
      <sz val="14.00"/>
      <b/>
      <color rgb="FF1F4E79"/>
      <family val="2"/>
    </font>
    <font>
      <name val="Calibri"/>
      <sz val="11.00"/>
      <b/>
      <color rgb="FF000000"/>
      <family val="2"/>
    </font>
    <font>
      <name val="Calibri"/>
      <sz val="12.00"/>
      <b/>
      <color rgb="FFFFFFFF"/>
      <family val="2"/>
    </font>
    <font>
      <name val="Cambria Math"/>
      <sz val="11.00"/>
      <i/>
      <family val="2"/>
    </font>
    <font>
      <name val="Calibri"/>
      <sz val="10.00"/>
      <i/>
      <color rgb="FF595959"/>
      <family val="2"/>
    </font>
  </fonts>
  <fills count="18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EB9C"/>
        <bgColor indexed="64"/>
      </patternFill>
    </fill>
  </fills>
  <borders count="2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4">
    <xf numFmtId="0" fontId="0" fillId="0" borderId="0"/>
    <xf fontId="1" applyFont="1" fillId="2" applyFill="1" borderId="1" applyBorder="1" applyAlignment="1">
      <alignment vertical="center" horizontal="center" wrapText="0"/>
    </xf>
    <xf fontId="2" applyFont="1" borderId="2" applyBorder="1" applyAlignment="1">
      <alignment vertical="center" horizontal="center" wrapText="0"/>
    </xf>
    <xf fontId="3" applyFont="1" fillId="3" applyFill="1" borderId="3" applyBorder="1" applyAlignment="1">
      <alignment vertical="center" horizontal="left" wrapText="0"/>
    </xf>
    <xf fontId="4" applyFont="1" fillId="4" applyFill="1" applyAlignment="1">
      <alignment vertical="center" horizontal="center" wrapText="0"/>
    </xf>
    <xf fontId="5" applyFont="1" fillId="5" applyFill="1" borderId="4" applyBorder="1" applyAlignment="1">
      <alignment vertical="center" horizontal="center" wrapText="0"/>
    </xf>
    <xf fontId="6" applyFont="1" fillId="6" applyFill="1" borderId="5" applyBorder="1" applyAlignment="1">
      <alignment vertical="center" horizontal="left" wrapText="0"/>
    </xf>
    <xf fontId="7" applyFont="1" fillId="7" applyFill="1" borderId="6" applyBorder="1" applyAlignment="1">
      <alignment vertical="center" horizontal="left" wrapText="0"/>
    </xf>
    <xf fontId="8" applyFont="1" fillId="8" applyFill="1" borderId="7" applyBorder="1" applyAlignment="1">
      <alignment vertical="center" horizontal="center" wrapText="0"/>
    </xf>
    <xf fontId="9" applyFont="1" borderId="8" applyBorder="1" applyAlignment="1">
      <alignment vertical="center" horizontal="center" wrapText="0"/>
    </xf>
    <xf fontId="9" applyFont="1" fillId="9" applyFill="1" borderId="9" applyBorder="1" applyAlignment="1">
      <alignment vertical="center" horizontal="left" wrapText="0"/>
    </xf>
    <xf fontId="8" applyFont="1" fillId="10" applyFill="1" borderId="10" applyBorder="1" applyAlignment="1">
      <alignment vertical="center" horizontal="center" wrapText="0"/>
    </xf>
    <xf fontId="9" applyFont="1" fillId="11" applyFill="1" borderId="11" applyBorder="1" applyAlignment="1">
      <alignment vertical="center" horizontal="center" wrapText="0"/>
    </xf>
    <xf fontId="9" applyFont="1" fillId="12" applyFill="1" borderId="12" applyBorder="1" applyAlignment="1">
      <alignment vertical="center" horizontal="left" wrapText="0"/>
    </xf>
    <xf fontId="9" applyFont="1" fillId="13" applyFill="1" borderId="13" applyBorder="1" applyAlignment="1">
      <alignment vertical="center" horizontal="center" wrapText="0"/>
    </xf>
    <xf fontId="10" applyFont="1" fillId="14" applyFill="1" applyAlignment="1">
      <alignment vertical="center" horizontal="left" wrapText="0"/>
    </xf>
    <xf fontId="11" applyFont="1" borderId="14" applyBorder="1" applyAlignment="1">
      <alignment vertical="center" horizontal="left" wrapText="0"/>
    </xf>
    <xf fontId="6" applyFont="1" borderId="15" applyBorder="1" applyAlignment="1">
      <alignment vertical="center" horizontal="left" wrapText="0"/>
    </xf>
    <xf fontId="6" applyFont="1" applyAlignment="1">
      <alignment vertical="center" horizontal="left" wrapText="0"/>
    </xf>
    <xf fontId="1" applyFont="1" fillId="15" applyFill="1" borderId="16" applyBorder="1" applyAlignment="1">
      <alignment vertical="center" horizontal="left" wrapText="0"/>
    </xf>
    <xf fontId="11" applyFont="1" fillId="16" applyFill="1" borderId="17" applyBorder="1" applyAlignment="1">
      <alignment vertical="center" horizontal="left" wrapText="0"/>
    </xf>
    <xf fontId="8" applyFont="1" fillId="17" applyFill="1" borderId="18" applyBorder="1" applyAlignment="1">
      <alignment vertical="center" horizontal="center" wrapText="0"/>
    </xf>
    <xf fontId="9" applyFont="1" borderId="19" applyBorder="1" applyAlignment="1">
      <alignment vertical="center" horizontal="left" wrapText="0"/>
    </xf>
    <xf fontId="12" applyFont="1" applyAlignment="1">
      <alignment vertical="bottom" horizontal="center" wrapText="0"/>
    </xf>
  </cellStyleXfs>
  <cellXfs count="24">
    <xf numFmtId="0" fontId="0" fillId="0" borderId="0" xfId="0"/>
    <xf xfId="4" quotePrefix="0" pivotButton="0" fontId="4" applyFont="1" fillId="4" applyFill="1" applyAlignment="1">
      <alignment vertical="center" horizontal="center" wrapText="0"/>
    </xf>
    <xf xfId="23" quotePrefix="0" pivotButton="0" fontId="12" applyFont="1" applyAlignment="1">
      <alignment vertical="bottom" horizontal="center" wrapText="0"/>
    </xf>
    <xf xfId="15" quotePrefix="0" pivotButton="0" fontId="10" applyFont="1" fillId="14" applyFill="1" applyAlignment="1">
      <alignment vertical="center" horizontal="left" wrapText="0"/>
    </xf>
    <xf xfId="10" quotePrefix="0" pivotButton="0" fontId="9" applyFont="1" fillId="9" applyFill="1" borderId="9" applyBorder="1" applyAlignment="1">
      <alignment vertical="center" horizontal="left" wrapText="0"/>
    </xf>
    <xf xfId="19" quotePrefix="0" pivotButton="0" fontId="1" applyFont="1" fillId="15" applyFill="1" borderId="16" applyBorder="1" applyAlignment="1">
      <alignment vertical="center" horizontal="left" wrapText="0"/>
    </xf>
    <xf xfId="1" quotePrefix="0" pivotButton="0" fontId="1" applyFont="1" fillId="2" applyFill="1" borderId="1" applyBorder="1" applyAlignment="1">
      <alignment vertical="center" horizontal="center" wrapText="0"/>
    </xf>
    <xf xfId="11" quotePrefix="0" pivotButton="0" fontId="8" applyFont="1" fillId="10" applyFill="1" borderId="10" applyBorder="1" applyAlignment="1">
      <alignment vertical="center" horizontal="center" wrapText="0"/>
    </xf>
    <xf xfId="5" quotePrefix="0" pivotButton="0" fontId="5" applyFont="1" fillId="5" applyFill="1" borderId="4" applyBorder="1" applyAlignment="1">
      <alignment vertical="center" horizontal="center" wrapText="0"/>
    </xf>
    <xf xfId="7" quotePrefix="0" pivotButton="0" fontId="7" applyFont="1" fillId="7" applyFill="1" borderId="6" applyBorder="1" applyAlignment="1">
      <alignment vertical="center" horizontal="left" wrapText="0"/>
    </xf>
    <xf xfId="18" quotePrefix="0" pivotButton="0" fontId="6" applyFont="1" applyAlignment="1">
      <alignment vertical="center" horizontal="left" wrapText="0"/>
    </xf>
    <xf xfId="12" quotePrefix="0" pivotButton="0" fontId="9" applyFont="1" fillId="11" applyFill="1" borderId="11" applyBorder="1" applyAlignment="1">
      <alignment vertical="center" horizontal="center" wrapText="0"/>
    </xf>
    <xf xfId="13" quotePrefix="0" pivotButton="0" fontId="9" applyFont="1" fillId="12" applyFill="1" borderId="12" applyBorder="1" applyAlignment="1">
      <alignment vertical="center" horizontal="left" wrapText="0"/>
    </xf>
    <xf xfId="14" quotePrefix="0" pivotButton="0" fontId="9" applyFont="1" fillId="13" applyFill="1" borderId="13" applyBorder="1" applyAlignment="1">
      <alignment vertical="center" horizontal="center" wrapText="0"/>
    </xf>
    <xf xfId="21" quotePrefix="0" pivotButton="0" fontId="8" applyFont="1" fillId="17" applyFill="1" borderId="18" applyBorder="1" applyAlignment="1">
      <alignment vertical="center" horizontal="center" wrapText="0"/>
    </xf>
    <xf xfId="2" quotePrefix="0" pivotButton="0" fontId="2" applyFont="1" borderId="2" applyBorder="1" applyAlignment="1">
      <alignment vertical="center" horizontal="center" wrapText="0"/>
    </xf>
    <xf xfId="8" quotePrefix="0" pivotButton="0" fontId="8" applyFont="1" fillId="8" applyFill="1" borderId="7" applyBorder="1" applyAlignment="1">
      <alignment vertical="center" horizontal="center" wrapText="0"/>
    </xf>
    <xf xfId="9" quotePrefix="0" pivotButton="0" fontId="9" applyFont="1" borderId="8" applyBorder="1" applyAlignment="1">
      <alignment vertical="center" horizontal="center" wrapText="0"/>
    </xf>
    <xf xfId="20" quotePrefix="0" pivotButton="0" fontId="11" applyFont="1" fillId="16" applyFill="1" borderId="17" applyBorder="1" applyAlignment="1">
      <alignment vertical="center" horizontal="left" wrapText="0"/>
    </xf>
    <xf xfId="6" quotePrefix="0" pivotButton="0" fontId="6" applyFont="1" fillId="6" applyFill="1" borderId="5" applyBorder="1" applyAlignment="1">
      <alignment vertical="center" horizontal="left" wrapText="0"/>
    </xf>
    <xf xfId="16" quotePrefix="0" pivotButton="0" fontId="11" applyFont="1" borderId="14" applyBorder="1" applyAlignment="1">
      <alignment vertical="center" horizontal="left" wrapText="0"/>
    </xf>
    <xf xfId="17" quotePrefix="0" pivotButton="0" fontId="6" applyFont="1" borderId="15" applyBorder="1" applyAlignment="1">
      <alignment vertical="center" horizontal="left" wrapText="0"/>
    </xf>
    <xf xfId="22" quotePrefix="0" pivotButton="0" fontId="9" applyFont="1" borderId="19" applyBorder="1" applyAlignment="1">
      <alignment vertical="center" horizontal="left" wrapText="0"/>
    </xf>
    <xf xfId="3" quotePrefix="0" pivotButton="0" fontId="3" applyFont="1" fillId="3" applyFill="1" borderId="3" applyBorder="1" applyAlignment="1">
      <alignment vertical="center" horizontal="left" wrapText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theme" Target="theme/theme1.xml"/>
<Relationship Id="rId9" Type="http://schemas.openxmlformats.org/officeDocument/2006/relationships/sharedStrings" Target="sharedStrings.xml"/>
<Relationship Id="rId10" Type="http://schemas.openxmlformats.org/officeDocument/2006/relationships/styles" Target="styles.xml"/>
<Relationship Id="rId11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8.71"/>
  <cols>
    <col min="1" max="1" width="1.96" customWidth="1" hidden="0"/>
    <col min="2" max="2" width="32.01" customWidth="1" hidden="0"/>
    <col min="3" max="10" width="13.98" customWidth="1" hidden="0"/>
    <col min="11" max="11" width="1.96" customWidth="1" hidden="0"/>
  </cols>
  <sheetData>
    <row r="2" ht="31.50" customHeight="true">
      <c r="B2" s="1" t="s">
        <v>0</v>
      </c>
      <c r="C2" s="1"/>
      <c r="D2" s="1"/>
      <c r="E2" s="1"/>
      <c r="F2" s="1"/>
      <c r="G2" s="1"/>
      <c r="H2" s="1"/>
      <c r="I2" s="1"/>
      <c r="J2" s="1"/>
    </row>
    <row r="3" ht="15.00" customHeight="true">
      <c r="B3" s="2" t="s">
        <v>1</v>
      </c>
      <c r="C3" s="2"/>
      <c r="D3" s="2"/>
      <c r="E3" s="2"/>
      <c r="F3" s="2"/>
      <c r="G3" s="2"/>
      <c r="H3" s="2"/>
      <c r="I3" s="2"/>
      <c r="J3" s="2"/>
    </row>
    <row r="5" ht="21.75" customHeight="true">
      <c r="B5" s="3" t="s">
        <v>2</v>
      </c>
      <c r="C5" s="3"/>
      <c r="D5" s="3"/>
      <c r="E5" s="3"/>
      <c r="F5" s="3"/>
      <c r="G5" s="3"/>
      <c r="H5" s="3"/>
      <c r="I5" s="3"/>
      <c r="J5" s="3"/>
    </row>
    <row r="6" ht="15.00" customHeight="true">
      <c r="B6" s="4" t="s">
        <v>3</v>
      </c>
      <c r="C6" s="5" t="s">
        <v>4</v>
      </c>
      <c r="D6" s="5"/>
      <c r="E6" s="5"/>
      <c r="F6" s="5"/>
      <c r="G6" s="4" t="s">
        <v>5</v>
      </c>
      <c r="H6" s="5" t="s">
        <v>4</v>
      </c>
      <c r="I6" s="5"/>
      <c r="J6" s="5"/>
    </row>
    <row r="7" ht="28.50" customHeight="true">
      <c r="B7" s="4" t="s">
        <v>6</v>
      </c>
      <c r="C7" s="6">
        <v>65</v>
      </c>
      <c r="D7" s="4" t="s">
        <v>7</v>
      </c>
      <c r="E7" s="6" t="s">
        <v>8</v>
      </c>
      <c r="F7" s="4" t="s">
        <v>9</v>
      </c>
      <c r="G7" s="6">
        <v>170</v>
      </c>
      <c r="H7" s="4" t="s">
        <v>10</v>
      </c>
      <c r="I7" s="6">
        <v>75</v>
      </c>
    </row>
    <row r="9" ht="28.50" customHeight="true">
      <c r="B9" s="4" t="s">
        <v>11</v>
      </c>
      <c r="C9" s="7">
        <f>=IF(E7="M", 50+0.91*(G7-152.4), 45.5+0.91*(G7-152.4))</f>
      </c>
      <c r="D9" s="4" t="s">
        <v>12</v>
      </c>
      <c r="E9" s="7">
        <f>=ROUND(C9*6,0)</f>
      </c>
      <c r="F9" s="4" t="s">
        <v>13</v>
      </c>
      <c r="G9" s="7">
        <f>=ROUND(C9*4,0)</f>
      </c>
      <c r="H9" s="4" t="s">
        <v>14</v>
      </c>
      <c r="I9" s="7">
        <f>=ROUND(C9*8,0)</f>
      </c>
    </row>
    <row r="11" ht="21.75" customHeight="true">
      <c r="B11" s="3" t="s">
        <v>15</v>
      </c>
      <c r="C11" s="3"/>
      <c r="D11" s="3"/>
      <c r="E11" s="3"/>
      <c r="F11" s="3"/>
      <c r="G11" s="3"/>
      <c r="H11" s="3"/>
      <c r="I11" s="3"/>
      <c r="J11" s="3"/>
    </row>
    <row r="12" ht="30.00" customHeight="true">
      <c r="C12" s="8" t="s">
        <v>16</v>
      </c>
      <c r="D12" s="8" t="s">
        <v>17</v>
      </c>
      <c r="E12" s="8" t="s">
        <v>18</v>
      </c>
      <c r="F12" s="8" t="s">
        <v>19</v>
      </c>
      <c r="G12" s="8" t="s">
        <v>20</v>
      </c>
      <c r="H12" s="8" t="s">
        <v>21</v>
      </c>
      <c r="I12" s="8" t="s">
        <v>22</v>
      </c>
      <c r="J12" s="8" t="s">
        <v>23</v>
      </c>
    </row>
    <row r="13" ht="18.75" customHeight="true">
      <c r="C13" s="6">
        <v>7.3</v>
      </c>
      <c r="D13" s="6">
        <v>55</v>
      </c>
      <c r="E13" s="6">
        <v>70</v>
      </c>
      <c r="F13" s="6">
        <v>22</v>
      </c>
      <c r="G13" s="6">
        <v>-3</v>
      </c>
      <c r="H13" s="6">
        <v>3.5</v>
      </c>
      <c r="I13" s="6">
        <v>88</v>
      </c>
      <c r="J13" s="7">
        <f>=IF(J17&gt;0, E13/J17, 0)</f>
      </c>
    </row>
    <row r="15" ht="21.75" customHeight="true">
      <c r="B15" s="3" t="s">
        <v>24</v>
      </c>
      <c r="C15" s="3"/>
      <c r="D15" s="3"/>
      <c r="E15" s="3"/>
      <c r="F15" s="3"/>
      <c r="G15" s="3"/>
      <c r="H15" s="3"/>
      <c r="I15" s="3"/>
      <c r="J15" s="3"/>
    </row>
    <row r="16" ht="30.00" customHeight="true">
      <c r="C16" s="8" t="s">
        <v>25</v>
      </c>
      <c r="D16" s="8" t="s">
        <v>26</v>
      </c>
      <c r="E16" s="8" t="s">
        <v>27</v>
      </c>
      <c r="F16" s="8" t="s">
        <v>28</v>
      </c>
      <c r="G16" s="8" t="s">
        <v>29</v>
      </c>
      <c r="H16" s="8" t="s">
        <v>30</v>
      </c>
      <c r="I16" s="8" t="s">
        <v>31</v>
      </c>
      <c r="J16" s="8" t="s">
        <v>32</v>
      </c>
    </row>
    <row r="17" ht="15.00" customHeight="true">
      <c r="C17" s="6">
        <v>32</v>
      </c>
      <c r="D17" s="6">
        <v>110</v>
      </c>
      <c r="E17" s="6">
        <v>100</v>
      </c>
      <c r="F17" s="6">
        <v>60</v>
      </c>
      <c r="G17" s="6">
        <v>89</v>
      </c>
      <c r="H17" s="6">
        <v>13</v>
      </c>
      <c r="I17" s="6">
        <v>38</v>
      </c>
      <c r="J17" s="6">
        <v>0.6</v>
      </c>
    </row>
    <row r="19" ht="21.75" customHeight="true">
      <c r="B19" s="3" t="s">
        <v>33</v>
      </c>
      <c r="C19" s="3"/>
      <c r="D19" s="3"/>
      <c r="E19" s="3"/>
      <c r="F19" s="3"/>
      <c r="G19" s="3"/>
      <c r="H19" s="3"/>
      <c r="I19" s="3"/>
      <c r="J19" s="3"/>
    </row>
    <row r="20" ht="28.50" customHeight="true">
      <c r="B20" s="4" t="s">
        <v>34</v>
      </c>
      <c r="C20" s="7">
        <f>=J13</f>
      </c>
      <c r="D20" s="4" t="s">
        <v>35</v>
      </c>
      <c r="E20" s="7">
        <f>=IF(J13&gt;=300,"✅ Sem SARA",IF(J13&gt;=200,"🟡 LEVE",IF(J13&gt;=100,"🔶 MODERADA",IF(J13&gt;0,"🔴 GRAVE","-"))))</f>
      </c>
      <c r="F20" s="7"/>
      <c r="G20" s="7"/>
      <c r="H20" s="4" t="s">
        <v>36</v>
      </c>
      <c r="I20" s="7">
        <f>=IF(J13&lt;150,"⚡ INDICADA (&lt;150)","Não indicada")</f>
      </c>
      <c r="J20" s="7"/>
    </row>
    <row r="21" ht="28.50" customHeight="true">
      <c r="B21" s="4" t="s">
        <v>37</v>
      </c>
      <c r="C21" s="7">
        <f>=IF(AND(J17&gt;0,C17&gt;0), G17/J17/C17, 0)</f>
      </c>
      <c r="D21" s="4" t="s">
        <v>38</v>
      </c>
      <c r="E21" s="7">
        <f>=IF(C21=0,"-",IF(C21&gt;=4.88,"✅ Sucesso provável",IF(C21&gt;=3.85,"🟡 Zona cinzenta",IF(C21&gt;=2.85,"🔶 Risco falha","🔴 Falha — IOT!"))))</f>
      </c>
      <c r="F21" s="7"/>
      <c r="G21" s="7"/>
      <c r="H21" s="4" t="s">
        <v>39</v>
      </c>
      <c r="I21" s="7">
        <f>=IF(H17&lt;=8,"🔴 IOT (Glasgow ≤8)",IF(H17&lt;=12,"🟡 Atenção","✅ OK"))</f>
      </c>
      <c r="J21" s="7"/>
    </row>
    <row r="22" ht="28.50" customHeight="true">
      <c r="B22" s="4" t="s">
        <v>40</v>
      </c>
      <c r="C22" s="7">
        <f>=IF(C13&lt;7.2,"🔴 ACIDEMIA GRAVE",IF(C13&lt;7.35,"🟡 Acidemia",IF(C13&lt;=7.45,"✅ Normal",IF(C13&lt;=7.55,"🟡 Alcalemia","🔴 ALCALEMIA GRAVE"))))</f>
      </c>
      <c r="D22" s="7"/>
      <c r="E22" s="4" t="s">
        <v>41</v>
      </c>
      <c r="F22" s="7">
        <f>=IF(AND(C13&lt;7.35,D13&gt;45),"Acidose Respiratória",IF(AND(C13&lt;7.35,F13&lt;22),"Acidose Metabólica",IF(AND(C13&gt;7.45,D13&lt;35),"Alcalose Respiratória",IF(AND(C13&gt;7.45,F13&gt;26),"Alcalose Metabólica","Misto/Compensado"))))</f>
      </c>
      <c r="G22" s="7"/>
      <c r="H22" s="7"/>
      <c r="I22" s="4" t="s">
        <v>42</v>
      </c>
      <c r="J22" s="7">
        <f>=IF(H13&lt;2,"✅ Normal",IF(H13&lt;4,"🟡 Leve",IF(H13&lt;8,"🔶 Moderada","🔴 Grave")))</f>
      </c>
    </row>
    <row r="24" ht="21.75" customHeight="true">
      <c r="B24" s="3" t="s">
        <v>43</v>
      </c>
      <c r="C24" s="3"/>
      <c r="D24" s="3"/>
      <c r="E24" s="3"/>
      <c r="F24" s="3"/>
      <c r="G24" s="3"/>
      <c r="H24" s="3"/>
      <c r="I24" s="3"/>
      <c r="J24" s="3"/>
    </row>
    <row r="25" ht="69.75" customHeight="true">
      <c r="B25" s="9">
        <f>=IF(H17&lt;=8,"🔴 IOT IMEDIATA — Glasgow ≤ 8 (não protege via aérea)",IF(AND(J13&gt;0,J13&lt;100),"🔴 SARA GRAVE: Pronação ≥16h + BNM 48h + PEEP alta + Vt 4-6 mL/kg PCI + considerar ECMO",IF(AND(J13&gt;0,J13&lt;150),"🔶 SARA MOD-GRAVE: Pronação INDICADA (P/F&lt;150) — otimizar PEEP/ΔP/sedação",IF(AND(J13&gt;0,J13&lt;200),"⚠️ SARA MODERADA: Vt 6 mL/kg PCI, PEEP titulada, ΔP ≤14, reavaliar 4-6h",IF(AND(J13&gt;0,J13&lt;300),"⚠️ SARA LEVE: Manter protetiva; considerar VNI/CBAF se elegível",IF(AND(C21&gt;0,C21&lt;3.85),"🔶 ROX baixo: risco de falha em CBAF — considerar IOT precoce","✅ Suporte adequado — manter conduta e reavaliar em 1-2h"))))))</f>
      </c>
      <c r="C25" s="9"/>
      <c r="D25" s="9"/>
      <c r="E25" s="9"/>
      <c r="F25" s="9"/>
      <c r="G25" s="9"/>
      <c r="H25" s="9"/>
      <c r="I25" s="9"/>
      <c r="J25" s="9"/>
    </row>
    <row r="28" ht="15.00" customHeight="true">
      <c r="B28" s="10" t="s">
        <v>44</v>
      </c>
      <c r="C28" s="10"/>
      <c r="D28" s="10"/>
      <c r="E28" s="10"/>
      <c r="F28" s="10"/>
      <c r="G28" s="10"/>
      <c r="H28" s="10"/>
      <c r="I28" s="10"/>
      <c r="J28" s="10"/>
    </row>
    <row r="29" ht="15.00" customHeight="true">
      <c r="B29" s="10" t="s">
        <v>45</v>
      </c>
      <c r="C29" s="10"/>
      <c r="D29" s="10"/>
      <c r="E29" s="10"/>
      <c r="F29" s="10"/>
      <c r="G29" s="10"/>
      <c r="H29" s="10"/>
      <c r="I29" s="10"/>
      <c r="J29" s="10"/>
    </row>
    <row r="30" ht="15.00" customHeight="true">
      <c r="B30" s="10" t="s">
        <v>46</v>
      </c>
      <c r="C30" s="10"/>
      <c r="D30" s="10"/>
      <c r="E30" s="10"/>
      <c r="F30" s="10"/>
      <c r="G30" s="10"/>
      <c r="H30" s="10"/>
      <c r="I30" s="10"/>
      <c r="J30" s="10"/>
    </row>
  </sheetData>
  <mergeCells count="19">
    <mergeCell ref="B2:J2"/>
    <mergeCell ref="B3:J3"/>
    <mergeCell ref="B5:J5"/>
    <mergeCell ref="C6:F6"/>
    <mergeCell ref="H6:J6"/>
    <mergeCell ref="B11:J11"/>
    <mergeCell ref="B15:J15"/>
    <mergeCell ref="B19:J19"/>
    <mergeCell ref="E20:G20"/>
    <mergeCell ref="I20:J20"/>
    <mergeCell ref="E21:G21"/>
    <mergeCell ref="I21:J21"/>
    <mergeCell ref="C22:D22"/>
    <mergeCell ref="F22:H22"/>
    <mergeCell ref="B24:J24"/>
    <mergeCell ref="B25:J25"/>
    <mergeCell ref="B28:J28"/>
    <mergeCell ref="B29:J29"/>
    <mergeCell ref="B30:J30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8.71"/>
  <cols>
    <col min="1" max="1" width="1.96" customWidth="1" hidden="0"/>
    <col min="2" max="2" width="36.06" customWidth="1" hidden="0"/>
    <col min="3" max="5" width="15.94" customWidth="1" hidden="0"/>
    <col min="6" max="8" width="18.03" customWidth="1" hidden="0"/>
    <col min="9" max="10" width="15.94" customWidth="1" hidden="0"/>
  </cols>
  <sheetData>
    <row r="2" ht="31.50" customHeight="true">
      <c r="B2" s="1" t="s">
        <v>47</v>
      </c>
      <c r="C2" s="1"/>
      <c r="D2" s="1"/>
      <c r="E2" s="1"/>
      <c r="F2" s="1"/>
      <c r="G2" s="1"/>
      <c r="H2" s="1"/>
      <c r="I2" s="1"/>
      <c r="J2" s="1"/>
    </row>
    <row r="3" ht="15.00" customHeight="true">
      <c r="B3" s="10" t="s">
        <v>48</v>
      </c>
      <c r="C3" s="10"/>
      <c r="D3" s="10"/>
      <c r="E3" s="10"/>
      <c r="F3" s="10"/>
      <c r="G3" s="10"/>
      <c r="H3" s="10"/>
      <c r="I3" s="10"/>
      <c r="J3" s="10"/>
    </row>
    <row r="5" ht="21.75" customHeight="true">
      <c r="B5" s="3" t="s">
        <v>49</v>
      </c>
      <c r="C5" s="3"/>
      <c r="D5" s="3"/>
      <c r="E5" s="3"/>
      <c r="F5" s="3"/>
      <c r="G5" s="3"/>
      <c r="H5" s="3"/>
      <c r="I5" s="3"/>
      <c r="J5" s="3"/>
    </row>
    <row r="6" ht="15.00" customHeight="true">
      <c r="B6" s="4" t="s">
        <v>16</v>
      </c>
      <c r="C6" s="6">
        <v>7.3</v>
      </c>
      <c r="E6" s="4" t="s">
        <v>50</v>
      </c>
      <c r="F6" s="6">
        <v>-3</v>
      </c>
    </row>
    <row r="7" ht="28.50" customHeight="true">
      <c r="B7" s="4" t="s">
        <v>51</v>
      </c>
      <c r="C7" s="6">
        <v>55</v>
      </c>
      <c r="E7" s="4" t="s">
        <v>52</v>
      </c>
      <c r="F7" s="6">
        <v>3.5</v>
      </c>
    </row>
    <row r="8" ht="15.00" customHeight="true">
      <c r="B8" s="4" t="s">
        <v>53</v>
      </c>
      <c r="C8" s="6">
        <v>70</v>
      </c>
      <c r="E8" s="4" t="s">
        <v>54</v>
      </c>
      <c r="F8" s="6">
        <v>88</v>
      </c>
    </row>
    <row r="9" ht="28.50" customHeight="true">
      <c r="B9" s="4" t="s">
        <v>55</v>
      </c>
      <c r="C9" s="6">
        <v>22</v>
      </c>
      <c r="E9" s="4" t="s">
        <v>56</v>
      </c>
      <c r="F9" s="6">
        <v>0.6</v>
      </c>
    </row>
    <row r="11" ht="21.75" customHeight="true">
      <c r="B11" s="3" t="s">
        <v>57</v>
      </c>
      <c r="C11" s="3"/>
      <c r="D11" s="3"/>
      <c r="E11" s="3"/>
      <c r="F11" s="3"/>
      <c r="G11" s="3"/>
      <c r="H11" s="3"/>
      <c r="I11" s="3"/>
      <c r="J11" s="3"/>
    </row>
    <row r="12" ht="15.00" customHeight="true">
      <c r="B12" s="4" t="s">
        <v>58</v>
      </c>
      <c r="C12" s="6">
        <v>138</v>
      </c>
      <c r="E12" s="4" t="s">
        <v>59</v>
      </c>
      <c r="F12" s="6">
        <v>4</v>
      </c>
    </row>
    <row r="13" ht="15.00" customHeight="true">
      <c r="B13" s="4" t="s">
        <v>60</v>
      </c>
      <c r="C13" s="6">
        <v>100</v>
      </c>
      <c r="E13" s="4" t="s">
        <v>61</v>
      </c>
      <c r="F13" s="6">
        <v>3</v>
      </c>
    </row>
    <row r="15" ht="21.75" customHeight="true">
      <c r="B15" s="3" t="s">
        <v>62</v>
      </c>
      <c r="C15" s="3"/>
      <c r="D15" s="3"/>
      <c r="E15" s="3"/>
      <c r="F15" s="3"/>
      <c r="G15" s="3"/>
      <c r="H15" s="3"/>
      <c r="I15" s="3"/>
      <c r="J15" s="3"/>
    </row>
    <row r="16" ht="28.50" customHeight="true">
      <c r="B16" s="4" t="s">
        <v>63</v>
      </c>
      <c r="E16" s="7">
        <f>=IF(C6&lt;7.2,"🔴 ACIDEMIA GRAVE",IF(C6&lt;7.35,"🟡 ACIDEMIA",IF(C6&lt;=7.45,"✅ NORMAL",IF(C6&lt;=7.55,"🟡 ALCALEMIA","🔴 ALCALEMIA GRAVE"))))</f>
      </c>
      <c r="F16" s="7"/>
      <c r="G16" s="7"/>
      <c r="H16" s="7"/>
    </row>
    <row r="17" ht="15.00" customHeight="true">
      <c r="B17" s="4" t="s">
        <v>64</v>
      </c>
      <c r="E17" s="11">
        <f>=IF(C7&gt;45,"↑ Hipercapnia (acidose resp ou compensação alc met)",IF(C7&lt;35,"↓ Hipocapnia (alcalose resp ou compensação ac met)","✓ Normal (35–45)"))</f>
      </c>
      <c r="F17" s="11"/>
      <c r="G17" s="11"/>
      <c r="H17" s="11"/>
    </row>
    <row r="18" ht="15.00" customHeight="true">
      <c r="B18" s="4" t="s">
        <v>65</v>
      </c>
      <c r="E18" s="11">
        <f>=IF(C9&gt;26,"↑ Alcalose metabólica ou compensação ac resp",IF(C9&lt;22,"↓ Acidose metabólica ou compensação alc resp","✓ Normal (22–26)"))</f>
      </c>
      <c r="F18" s="11"/>
      <c r="G18" s="11"/>
      <c r="H18" s="11"/>
    </row>
    <row r="19" ht="18.75" customHeight="true">
      <c r="B19" s="4" t="s">
        <v>66</v>
      </c>
      <c r="E19" s="7">
        <f>=IF(AND(C6&lt;7.35,C7&gt;45),"Acidose Respiratória primária",IF(AND(C6&lt;7.35,C9&lt;22),"Acidose Metabólica primária",IF(AND(C6&gt;7.45,C7&lt;35),"Alcalose Respiratória primária",IF(AND(C6&gt;7.45,C9&gt;26),"Alcalose Metabólica primária","Misto ou compensado — analisar Δ-Δ"))))</f>
      </c>
      <c r="F19" s="7"/>
      <c r="G19" s="7"/>
      <c r="H19" s="7"/>
    </row>
    <row r="21" ht="21.75" customHeight="true">
      <c r="B21" s="3" t="s">
        <v>67</v>
      </c>
      <c r="C21" s="3"/>
      <c r="D21" s="3"/>
      <c r="E21" s="3"/>
      <c r="F21" s="3"/>
      <c r="G21" s="3"/>
      <c r="H21" s="3"/>
      <c r="I21" s="3"/>
      <c r="J21" s="3"/>
    </row>
    <row r="22" ht="28.50" customHeight="true">
      <c r="B22" s="4" t="s">
        <v>68</v>
      </c>
      <c r="C22" s="7">
        <f>=1.5*C9+8</f>
      </c>
      <c r="D22" s="10" t="s">
        <v>69</v>
      </c>
      <c r="E22" s="10"/>
    </row>
    <row r="23" ht="18.75" customHeight="true">
      <c r="B23" s="4" t="s">
        <v>70</v>
      </c>
      <c r="C23" s="7">
        <f>=C7</f>
      </c>
    </row>
    <row r="24" ht="28.50" customHeight="true">
      <c r="B24" s="4" t="s">
        <v>71</v>
      </c>
      <c r="C24" s="7">
        <f>=C23-C22</f>
      </c>
      <c r="D24" s="4" t="s">
        <v>72</v>
      </c>
      <c r="E24" s="11">
        <f>=IF(ABS(C24)&lt;=2,"✅ Compensação adequada",IF(C24&gt;2,"🔴 PaCO₂ &gt; esperado → Acidose Resp ASSOCIADA","🔴 PaCO₂ &lt; esperado → Alcalose Resp ASSOCIADA"))</f>
      </c>
      <c r="F24" s="11"/>
      <c r="G24" s="11"/>
      <c r="H24" s="11"/>
    </row>
    <row r="25" ht="22.50" customHeight="true">
      <c r="B25" s="4" t="s">
        <v>73</v>
      </c>
      <c r="C25" s="7">
        <f>=24+(C7-40)*0.1</f>
      </c>
      <c r="D25" s="10" t="s">
        <v>74</v>
      </c>
      <c r="E25" s="10"/>
    </row>
    <row r="26" ht="22.50" customHeight="true">
      <c r="B26" s="4" t="s">
        <v>75</v>
      </c>
      <c r="C26" s="7">
        <f>=24+(C7-40)*0.35</f>
      </c>
      <c r="D26" s="10" t="s">
        <v>76</v>
      </c>
      <c r="E26" s="10"/>
    </row>
    <row r="28" ht="21.75" customHeight="true">
      <c r="B28" s="3" t="s">
        <v>77</v>
      </c>
      <c r="C28" s="3"/>
      <c r="D28" s="3"/>
      <c r="E28" s="3"/>
      <c r="F28" s="3"/>
      <c r="G28" s="3"/>
      <c r="H28" s="3"/>
      <c r="I28" s="3"/>
      <c r="J28" s="3"/>
    </row>
    <row r="29" ht="18.75" customHeight="true">
      <c r="B29" s="4" t="s">
        <v>78</v>
      </c>
      <c r="C29" s="7">
        <f>=C12-(C13+C9)</f>
      </c>
      <c r="D29" s="10" t="s">
        <v>79</v>
      </c>
      <c r="E29" s="10"/>
    </row>
    <row r="30" ht="18.75" customHeight="true">
      <c r="B30" s="4" t="s">
        <v>80</v>
      </c>
      <c r="C30" s="7">
        <f>=C29+2.5*(4-F13)</f>
      </c>
      <c r="D30" s="10" t="s">
        <v>81</v>
      </c>
      <c r="E30" s="10"/>
    </row>
    <row r="31" ht="15.00" customHeight="true">
      <c r="B31" s="4" t="s">
        <v>82</v>
      </c>
      <c r="E31" s="11">
        <f>=IF(C30&lt;8,"↓ Baixo (hipoalbuminemia, intox lítio, mieloma)",IF(C30&lt;=12,"✓ Normal",IF(C30&lt;=20,"🟡 ↑ Moderado","🔴 ↑↑ ELEVADO — investigar MUDPILES")))</f>
      </c>
      <c r="F31" s="11"/>
      <c r="G31" s="11"/>
      <c r="H31" s="11"/>
    </row>
    <row r="32" ht="18.75" customHeight="true">
      <c r="B32" s="4" t="s">
        <v>83</v>
      </c>
      <c r="C32" s="7">
        <f>=IF((24-C9)&lt;&gt;0, (C30-12)/(24-C9), "—")</f>
      </c>
    </row>
    <row r="33" ht="15.00" customHeight="true">
      <c r="B33" s="4" t="s">
        <v>84</v>
      </c>
      <c r="E33" s="11">
        <f>=IFERROR(IF(C32&lt;1,"🟡 &lt; 1: Acidose hiperclorêmica concomitante",IF(C32&lt;=2,"✓ 1–2: Acidose AG ↑ pura","🟡 &gt; 2: Alcalose metabólica concomitante")),"—")</f>
      </c>
      <c r="F33" s="11"/>
      <c r="G33" s="11"/>
      <c r="H33" s="11"/>
    </row>
    <row r="35" ht="21.75" customHeight="true">
      <c r="B35" s="3" t="s">
        <v>85</v>
      </c>
      <c r="C35" s="3"/>
      <c r="D35" s="3"/>
      <c r="E35" s="3"/>
      <c r="F35" s="3"/>
      <c r="G35" s="3"/>
      <c r="H35" s="3"/>
      <c r="I35" s="3"/>
      <c r="J35" s="3"/>
    </row>
    <row r="36" ht="18.75" customHeight="true">
      <c r="B36" s="4" t="s">
        <v>86</v>
      </c>
      <c r="C36" s="7">
        <f>=IF(F9&gt;0,C8/F9,0)</f>
      </c>
      <c r="D36" s="4" t="s">
        <v>87</v>
      </c>
      <c r="E36" s="7">
        <f>=IF(C36&gt;=300,"✅ Sem SARA",IF(C36&gt;=200,"🟡 LEVE",IF(C36&gt;=100,"🔶 MODERADA",IF(C36&gt;0,"🔴 GRAVE","-"))))</f>
      </c>
      <c r="F36" s="7"/>
      <c r="G36" s="7"/>
      <c r="H36" s="7"/>
    </row>
    <row r="37" ht="18.75" customHeight="true">
      <c r="B37" s="4" t="s">
        <v>88</v>
      </c>
      <c r="C37" s="7">
        <f>=(F9*(760-47)-C7/0.8)-C8</f>
      </c>
      <c r="D37" s="4" t="s">
        <v>89</v>
      </c>
      <c r="E37" s="11">
        <f>=IF(C37&lt;15,"✓ Normal",IF(C37&lt;25,"🟡 Leve ↑","🔴 ↑↑ DDRP"))</f>
      </c>
      <c r="F37" s="11"/>
      <c r="G37" s="11"/>
      <c r="H37" s="11"/>
    </row>
    <row r="38" ht="15.00" customHeight="true">
      <c r="B38" s="4" t="s">
        <v>90</v>
      </c>
      <c r="C38" s="10" t="s">
        <v>91</v>
      </c>
      <c r="D38" s="10"/>
      <c r="E38" s="10"/>
    </row>
    <row r="40" ht="21.75" customHeight="true">
      <c r="B40" s="3" t="s">
        <v>92</v>
      </c>
      <c r="C40" s="3"/>
      <c r="D40" s="3"/>
      <c r="E40" s="3"/>
      <c r="F40" s="3"/>
      <c r="G40" s="3"/>
      <c r="H40" s="3"/>
      <c r="I40" s="3"/>
      <c r="J40" s="3"/>
    </row>
    <row r="41" ht="28.50" customHeight="true">
      <c r="B41" s="4" t="s">
        <v>93</v>
      </c>
      <c r="C41" s="7">
        <f>=F7</f>
      </c>
      <c r="D41" s="4" t="s">
        <v>94</v>
      </c>
      <c r="E41" s="11">
        <f>=IF(F7&lt;2,"✅ Normal — sem hipoperfusão",IF(F7&lt;4,"🟡 Hiperlactatemia LEVE — investigar (β2, metformina, mitocondrial, infecção)",IF(F7&lt;8,"🔶 MODERADA — Choque/sepse: pacote 1h Surviving Sepsis","🔴 GRAVE — Mortalidade ↑↑↑; reavaliar perfusão, isquemia mesentérica, CID")))</f>
      </c>
      <c r="F41" s="11"/>
      <c r="G41" s="11"/>
      <c r="H41" s="11"/>
      <c r="I41" s="11"/>
      <c r="J41" s="11"/>
    </row>
    <row r="43" ht="21.75" customHeight="true">
      <c r="B43" s="3" t="s">
        <v>95</v>
      </c>
      <c r="C43" s="3"/>
      <c r="D43" s="3"/>
      <c r="E43" s="3"/>
      <c r="F43" s="3"/>
      <c r="G43" s="3"/>
      <c r="H43" s="3"/>
      <c r="I43" s="3"/>
      <c r="J43" s="3"/>
    </row>
    <row r="44" ht="60.00" customHeight="true">
      <c r="B44" s="9">
        <f>="Distúrbio: " &amp; IF(AND(C6&lt;7.35,C7&gt;45),"Acidose Respiratória",IF(AND(C6&lt;7.35,C9&lt;22),"Acidose Metabólica",IF(AND(C6&gt;7.45,C7&lt;35),"Alcalose Respiratória",IF(AND(C6&gt;7.45,C9&gt;26),"Alcalose Metabólica","Misto/Compensado")))) &amp; " | AG: " &amp; TEXT(C30,"0.0") &amp; " | P/F: " &amp; TEXT(C36,"0") &amp; " | Lac: " &amp; TEXT(F7,"0.0")</f>
      </c>
      <c r="C44" s="9"/>
      <c r="D44" s="9"/>
      <c r="E44" s="9"/>
      <c r="F44" s="9"/>
      <c r="G44" s="9"/>
      <c r="H44" s="9"/>
      <c r="I44" s="9"/>
      <c r="J44" s="9"/>
    </row>
  </sheetData>
  <mergeCells count="27">
    <mergeCell ref="B2:J2"/>
    <mergeCell ref="B3:J3"/>
    <mergeCell ref="B5:J5"/>
    <mergeCell ref="B11:J11"/>
    <mergeCell ref="B15:J15"/>
    <mergeCell ref="E16:H16"/>
    <mergeCell ref="E17:H17"/>
    <mergeCell ref="E18:H18"/>
    <mergeCell ref="E19:H19"/>
    <mergeCell ref="B21:J21"/>
    <mergeCell ref="D22:E22"/>
    <mergeCell ref="E24:H24"/>
    <mergeCell ref="D25:E25"/>
    <mergeCell ref="D26:E26"/>
    <mergeCell ref="B28:J28"/>
    <mergeCell ref="D29:E29"/>
    <mergeCell ref="D30:E30"/>
    <mergeCell ref="E31:H31"/>
    <mergeCell ref="E33:H33"/>
    <mergeCell ref="B35:J35"/>
    <mergeCell ref="E36:H36"/>
    <mergeCell ref="E37:H37"/>
    <mergeCell ref="C38:E38"/>
    <mergeCell ref="B40:J40"/>
    <mergeCell ref="E41:J41"/>
    <mergeCell ref="B43:J43"/>
    <mergeCell ref="B44:J44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8.71"/>
  <cols>
    <col min="1" max="1" width="1.96" customWidth="1" hidden="0"/>
    <col min="2" max="2" width="38.02" customWidth="1" hidden="0"/>
    <col min="3" max="3" width="21.95" customWidth="1" hidden="0"/>
    <col min="4" max="4" width="18.03" customWidth="1" hidden="0"/>
    <col min="5" max="5" width="21.95" customWidth="1" hidden="0"/>
    <col min="6" max="8" width="18.03" customWidth="1" hidden="0"/>
    <col min="9" max="10" width="15.94" customWidth="1" hidden="0"/>
  </cols>
  <sheetData>
    <row r="2" ht="31.50" customHeight="true">
      <c r="B2" s="1" t="s">
        <v>96</v>
      </c>
      <c r="C2" s="1"/>
      <c r="D2" s="1"/>
      <c r="E2" s="1"/>
      <c r="F2" s="1"/>
      <c r="G2" s="1"/>
      <c r="H2" s="1"/>
      <c r="I2" s="1"/>
      <c r="J2" s="1"/>
    </row>
    <row r="3" ht="15.00" customHeight="true">
      <c r="B3" s="10" t="s">
        <v>97</v>
      </c>
      <c r="C3" s="10"/>
      <c r="D3" s="10"/>
      <c r="E3" s="10"/>
      <c r="F3" s="10"/>
      <c r="G3" s="10"/>
      <c r="H3" s="10"/>
      <c r="I3" s="10"/>
      <c r="J3" s="10"/>
    </row>
    <row r="5" ht="21.75" customHeight="true">
      <c r="B5" s="3" t="s">
        <v>98</v>
      </c>
      <c r="C5" s="3"/>
      <c r="D5" s="3"/>
      <c r="E5" s="3"/>
      <c r="F5" s="3"/>
      <c r="G5" s="3"/>
      <c r="H5" s="3"/>
      <c r="I5" s="3"/>
      <c r="J5" s="3"/>
    </row>
    <row r="6" ht="15.00" customHeight="true">
      <c r="B6" s="4" t="s">
        <v>99</v>
      </c>
      <c r="C6" s="6" t="s">
        <v>8</v>
      </c>
    </row>
    <row r="7" ht="15.00" customHeight="true">
      <c r="B7" s="4" t="s">
        <v>9</v>
      </c>
      <c r="C7" s="6">
        <v>170</v>
      </c>
    </row>
    <row r="9" ht="18.75" customHeight="true">
      <c r="B9" s="4" t="s">
        <v>100</v>
      </c>
      <c r="C9" s="7">
        <f>=IF(C6="M",50+0.91*(C7-152.4),45.5+0.91*(C7-152.4))</f>
      </c>
    </row>
    <row r="10" ht="18.75" customHeight="true">
      <c r="B10" s="4" t="s">
        <v>101</v>
      </c>
      <c r="C10" s="7">
        <f>=ROUND(C9*4,0)</f>
      </c>
      <c r="D10" s="10" t="s">
        <v>102</v>
      </c>
      <c r="E10" s="10"/>
    </row>
    <row r="11" ht="18.75" customHeight="true">
      <c r="B11" s="4" t="s">
        <v>103</v>
      </c>
      <c r="C11" s="7">
        <f>=ROUND(C9*6,0)</f>
      </c>
      <c r="D11" s="10" t="s">
        <v>104</v>
      </c>
      <c r="E11" s="10"/>
    </row>
    <row r="12" ht="18.75" customHeight="true">
      <c r="B12" s="4" t="s">
        <v>105</v>
      </c>
      <c r="C12" s="7">
        <f>=ROUND(C9*8,0)</f>
      </c>
      <c r="D12" s="10" t="s">
        <v>106</v>
      </c>
      <c r="E12" s="10"/>
    </row>
    <row r="14" ht="21.75" customHeight="true">
      <c r="B14" s="3" t="s">
        <v>107</v>
      </c>
      <c r="C14" s="3"/>
      <c r="D14" s="3"/>
      <c r="E14" s="3"/>
      <c r="F14" s="3"/>
      <c r="G14" s="3"/>
      <c r="H14" s="3"/>
      <c r="I14" s="3"/>
      <c r="J14" s="3"/>
    </row>
    <row r="15" ht="15.00" customHeight="true">
      <c r="B15" s="4" t="s">
        <v>108</v>
      </c>
      <c r="C15" s="6">
        <v>420</v>
      </c>
      <c r="E15" s="4" t="s">
        <v>109</v>
      </c>
      <c r="F15" s="6">
        <v>32</v>
      </c>
    </row>
    <row r="16" ht="15.00" customHeight="true">
      <c r="B16" s="4" t="s">
        <v>110</v>
      </c>
      <c r="C16" s="6">
        <v>20</v>
      </c>
      <c r="E16" s="4" t="s">
        <v>111</v>
      </c>
      <c r="F16" s="6">
        <v>26</v>
      </c>
    </row>
    <row r="17" ht="15.00" customHeight="true">
      <c r="B17" s="4" t="s">
        <v>112</v>
      </c>
      <c r="C17" s="6">
        <v>10</v>
      </c>
      <c r="E17" s="4" t="s">
        <v>113</v>
      </c>
      <c r="F17" s="6">
        <v>11</v>
      </c>
    </row>
    <row r="18" ht="28.50" customHeight="true">
      <c r="B18" s="4" t="s">
        <v>114</v>
      </c>
      <c r="C18" s="6">
        <v>0.6</v>
      </c>
      <c r="E18" s="4" t="s">
        <v>115</v>
      </c>
      <c r="F18" s="6">
        <v>60</v>
      </c>
    </row>
    <row r="20" ht="21.75" customHeight="true">
      <c r="B20" s="3" t="s">
        <v>116</v>
      </c>
      <c r="C20" s="3"/>
      <c r="D20" s="3"/>
      <c r="E20" s="3"/>
      <c r="F20" s="3"/>
      <c r="G20" s="3"/>
      <c r="H20" s="3"/>
      <c r="I20" s="3"/>
      <c r="J20" s="3"/>
    </row>
    <row r="21" ht="18.75" customHeight="true">
      <c r="B21" s="4" t="s">
        <v>117</v>
      </c>
      <c r="C21" s="7">
        <f>=F17-C17</f>
      </c>
      <c r="D21" s="4" t="s">
        <v>118</v>
      </c>
      <c r="E21" s="11">
        <f>=IF(C21&lt;=0,"✅ Sem auto-PEEP",IF(C21&lt;=3,"🟡 Leve",IF(C21&lt;=5,"🔶 Moderada","🔴 Significativa — ↓ FR / ↑ TE")))</f>
      </c>
      <c r="F21" s="11"/>
      <c r="G21" s="11"/>
      <c r="H21" s="11"/>
    </row>
    <row r="22" ht="28.50" customHeight="true">
      <c r="B22" s="4" t="s">
        <v>119</v>
      </c>
      <c r="C22" s="7">
        <f>=F16-F17</f>
      </c>
      <c r="D22" s="4" t="s">
        <v>120</v>
      </c>
      <c r="E22" s="7">
        <f>=IF(C22&lt;=12,"✅ Excelente (≤12)",IF(C22&lt;=14,"🟡 Aceitável (≤14)",IF(C22&lt;=18,"🔶 ELEVADO — risco mortalidade","🔴 CRÍTICO — reduzir Vt ou ajustar PEEP")))</f>
      </c>
      <c r="F22" s="7"/>
      <c r="G22" s="7"/>
      <c r="H22" s="7"/>
    </row>
    <row r="23" ht="18.75" customHeight="true">
      <c r="B23" s="4" t="s">
        <v>121</v>
      </c>
      <c r="C23" s="7">
        <f>=IF(C22&gt;0,C15/C22,0)</f>
      </c>
      <c r="D23" s="4" t="s">
        <v>122</v>
      </c>
      <c r="E23" s="11">
        <f>=IF(C23&gt;=60,"✅ Normal (≥60)",IF(C23&gt;=40,"🟡 ↓ Leve (40–59)",IF(C23&gt;=25,"🔶 ↓↓ Moderada — SARA","🔴 ↓↓↓ GRAVE (&lt;25)")))</f>
      </c>
      <c r="F23" s="11"/>
      <c r="G23" s="11"/>
      <c r="H23" s="11"/>
    </row>
    <row r="24" ht="28.50" customHeight="true">
      <c r="B24" s="4" t="s">
        <v>123</v>
      </c>
      <c r="C24" s="7">
        <f>=IF((F15-C17)&gt;0,C15/(F15-C17),0)</f>
      </c>
    </row>
    <row r="25" ht="28.50" customHeight="true">
      <c r="B25" s="4" t="s">
        <v>124</v>
      </c>
      <c r="C25" s="7">
        <f>=IF(F18&gt;0, (F15-F16)/(F18/60), 0)</f>
      </c>
      <c r="D25" s="4" t="s">
        <v>125</v>
      </c>
      <c r="E25" s="11">
        <f>=IF(C25&lt;=10,"✅ Normal (≤10)",IF(C25&lt;=15,"🟡 ↑ Leve",IF(C25&lt;=20,"🔶 ↑↑ Broncoespasmo / secreção","🔴 ↑↑↑ Obstrução grave")))</f>
      </c>
      <c r="F25" s="11"/>
      <c r="G25" s="11"/>
      <c r="H25" s="11"/>
    </row>
    <row r="26" ht="18.75" customHeight="true">
      <c r="B26" s="4" t="s">
        <v>126</v>
      </c>
      <c r="C26" s="7">
        <f>=IF(F16&lt;=28,"✅ Excelente (≤28)",IF(F16&lt;=30,"🟡 Aceitável (≤30)","🔴 ELEVADA — REDUZIR Vt!"))</f>
      </c>
      <c r="D26" s="7"/>
    </row>
    <row r="27" ht="28.50" customHeight="true">
      <c r="B27" s="4" t="s">
        <v>127</v>
      </c>
      <c r="C27" s="7">
        <f>=0.098*C16*(C15/1000)*(F15-0.5*C22)</f>
      </c>
      <c r="D27" s="4" t="s">
        <v>128</v>
      </c>
      <c r="E27" s="11">
        <f>=IF(C27&lt;=12,"✅ Baixo risco VILI",IF(C27&lt;=17,"🟡 Limítrofe",IF(C27&lt;=22,"🔶 ↑ Risco","🔴 ↑↑ ALTO RISCO VILI")))</f>
      </c>
      <c r="F27" s="11"/>
      <c r="G27" s="11"/>
      <c r="H27" s="11"/>
    </row>
    <row r="28" ht="18.75" customHeight="true">
      <c r="B28" s="4" t="s">
        <v>129</v>
      </c>
      <c r="C28" s="7">
        <f>=IF(C9&gt;0, C15/C9, 0)</f>
      </c>
      <c r="D28" s="4" t="s">
        <v>130</v>
      </c>
      <c r="E28" s="11">
        <f>=IF(C28&lt;=6,"✅ Protetiva (≤6)",IF(C28&lt;=8,"🟡 Aceitável (6–8)","🔴 ELEVADO — REDUZIR Vt!"))</f>
      </c>
      <c r="F28" s="11"/>
      <c r="G28" s="11"/>
      <c r="H28" s="11"/>
    </row>
    <row r="30" ht="21.75" customHeight="true">
      <c r="B30" s="3" t="s">
        <v>131</v>
      </c>
      <c r="C30" s="3"/>
      <c r="D30" s="3"/>
      <c r="E30" s="3"/>
      <c r="F30" s="3"/>
      <c r="G30" s="3"/>
      <c r="H30" s="3"/>
      <c r="I30" s="3"/>
      <c r="J30" s="3"/>
    </row>
    <row r="31" ht="49.50" customHeight="true">
      <c r="B31" s="12">
        <f>=IF(AND(F15&gt;35,F16&gt;30),"🔴 P-pico ↑ + P-platô ↑ → ↓ COMPLACÊNCIA: SARA, edema, atelectasia, pneumotórax, derrame, intubação seletiva, distensão abdominal",IF(AND(F15&gt;35,F16&lt;=30),"🔶 P-pico ↑ + P-platô normal → ↑ RESISTÊNCIA: broncoespasmo, secreção, dobra/mordedura TOT, água no circuito",IF(F15&lt;15,"⚠️ P-pico baixa → vazamento (cuff, dreno, desconexão)","✅ P-pico em faixa esperada")))</f>
      </c>
      <c r="C31" s="12"/>
      <c r="D31" s="12"/>
      <c r="E31" s="12"/>
      <c r="F31" s="12"/>
      <c r="G31" s="12"/>
      <c r="H31" s="12"/>
      <c r="I31" s="12"/>
      <c r="J31" s="12"/>
    </row>
  </sheetData>
  <mergeCells count="17">
    <mergeCell ref="B2:J2"/>
    <mergeCell ref="B3:J3"/>
    <mergeCell ref="B5:J5"/>
    <mergeCell ref="D10:E10"/>
    <mergeCell ref="D11:E11"/>
    <mergeCell ref="D12:E12"/>
    <mergeCell ref="B14:J14"/>
    <mergeCell ref="B20:J20"/>
    <mergeCell ref="E21:H21"/>
    <mergeCell ref="E22:H22"/>
    <mergeCell ref="E23:H23"/>
    <mergeCell ref="E25:H25"/>
    <mergeCell ref="C26:D26"/>
    <mergeCell ref="E27:H27"/>
    <mergeCell ref="E28:H28"/>
    <mergeCell ref="B30:J30"/>
    <mergeCell ref="B31:J31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8.71"/>
  <cols>
    <col min="1" max="1" width="1.96" customWidth="1" hidden="0"/>
    <col min="2" max="2" width="27.96" customWidth="1" hidden="0"/>
    <col min="3" max="10" width="13.98" customWidth="1" hidden="0"/>
  </cols>
  <sheetData>
    <row r="2" ht="31.50" customHeight="true">
      <c r="B2" s="1" t="s">
        <v>132</v>
      </c>
      <c r="C2" s="1"/>
      <c r="D2" s="1"/>
      <c r="E2" s="1"/>
      <c r="F2" s="1"/>
      <c r="G2" s="1"/>
      <c r="H2" s="1"/>
      <c r="I2" s="1"/>
      <c r="J2" s="1"/>
    </row>
    <row r="3" ht="15.00" customHeight="true">
      <c r="B3" s="10" t="s">
        <v>133</v>
      </c>
      <c r="C3" s="10"/>
      <c r="D3" s="10"/>
      <c r="E3" s="10"/>
      <c r="F3" s="10"/>
      <c r="G3" s="10"/>
      <c r="H3" s="10"/>
      <c r="I3" s="10"/>
      <c r="J3" s="10"/>
    </row>
    <row r="5" ht="21.75" customHeight="true">
      <c r="B5" s="3" t="s">
        <v>134</v>
      </c>
      <c r="C5" s="3"/>
      <c r="D5" s="3"/>
      <c r="E5" s="3"/>
      <c r="F5" s="3"/>
      <c r="G5" s="3"/>
      <c r="H5" s="3"/>
      <c r="I5" s="3"/>
      <c r="J5" s="3"/>
    </row>
    <row r="6" ht="15.00" customHeight="true">
      <c r="B6" s="4" t="s">
        <v>135</v>
      </c>
      <c r="C6" s="6">
        <v>0.6</v>
      </c>
      <c r="D6" s="4" t="s">
        <v>136</v>
      </c>
      <c r="E6" s="6" t="s">
        <v>137</v>
      </c>
      <c r="F6" s="10" t="s">
        <v>138</v>
      </c>
      <c r="G6" s="10"/>
      <c r="H6" s="10"/>
      <c r="I6" s="10"/>
      <c r="J6" s="10"/>
    </row>
    <row r="8" ht="21.75" customHeight="true">
      <c r="B8" s="3" t="s">
        <v>139</v>
      </c>
      <c r="C8" s="3"/>
      <c r="D8" s="3"/>
      <c r="E8" s="3"/>
      <c r="F8" s="3"/>
      <c r="G8" s="3"/>
      <c r="H8" s="3"/>
      <c r="I8" s="3"/>
      <c r="J8" s="3"/>
    </row>
    <row r="9" ht="15.00" customHeight="true">
      <c r="B9" s="8" t="s">
        <v>140</v>
      </c>
      <c r="C9" s="13">
        <v>0.3</v>
      </c>
      <c r="D9" s="13">
        <v>0.4</v>
      </c>
      <c r="E9" s="13">
        <v>0.4</v>
      </c>
      <c r="F9" s="13">
        <v>0.5</v>
      </c>
      <c r="G9" s="13">
        <v>0.5</v>
      </c>
      <c r="H9" s="13">
        <v>0.6</v>
      </c>
      <c r="I9" s="13">
        <v>0.7</v>
      </c>
      <c r="J9" s="13">
        <v>0.7</v>
      </c>
      <c r="K9" s="13">
        <v>0.7</v>
      </c>
      <c r="L9" s="13">
        <v>0.8</v>
      </c>
      <c r="M9" s="13">
        <v>0.9</v>
      </c>
      <c r="N9" s="13">
        <v>1</v>
      </c>
    </row>
    <row r="10" ht="15.00" customHeight="true">
      <c r="B10" s="8" t="s">
        <v>141</v>
      </c>
      <c r="C10" s="11">
        <v>5</v>
      </c>
      <c r="D10" s="11">
        <v>5</v>
      </c>
      <c r="E10" s="11">
        <v>8</v>
      </c>
      <c r="F10" s="11">
        <v>8</v>
      </c>
      <c r="G10" s="11">
        <v>10</v>
      </c>
      <c r="H10" s="11">
        <v>10</v>
      </c>
      <c r="I10" s="11">
        <v>10</v>
      </c>
      <c r="J10" s="11">
        <v>12</v>
      </c>
      <c r="K10" s="11">
        <v>14</v>
      </c>
      <c r="L10" s="11">
        <v>14</v>
      </c>
      <c r="M10" s="11">
        <v>16</v>
      </c>
      <c r="N10" s="11">
        <v>18</v>
      </c>
    </row>
    <row r="12" ht="21.75" customHeight="true">
      <c r="B12" s="3" t="s">
        <v>142</v>
      </c>
      <c r="C12" s="3"/>
      <c r="D12" s="3"/>
      <c r="E12" s="3"/>
      <c r="F12" s="3"/>
      <c r="G12" s="3"/>
      <c r="H12" s="3"/>
      <c r="I12" s="3"/>
      <c r="J12" s="3"/>
    </row>
    <row r="13" ht="15.00" customHeight="true">
      <c r="B13" s="8" t="s">
        <v>140</v>
      </c>
      <c r="C13" s="13">
        <v>0.3</v>
      </c>
      <c r="D13" s="13">
        <v>0.3</v>
      </c>
      <c r="E13" s="13">
        <v>0.4</v>
      </c>
      <c r="F13" s="13">
        <v>0.4</v>
      </c>
      <c r="G13" s="13">
        <v>0.5</v>
      </c>
      <c r="H13" s="13">
        <v>0.5</v>
      </c>
      <c r="I13" s="13">
        <v>0.5</v>
      </c>
      <c r="J13" s="13">
        <v>0.5</v>
      </c>
      <c r="K13" s="13">
        <v>0.8</v>
      </c>
      <c r="L13" s="13">
        <v>0.8</v>
      </c>
      <c r="M13" s="13">
        <v>0.9</v>
      </c>
      <c r="N13" s="13">
        <v>1</v>
      </c>
    </row>
    <row r="14" ht="15.00" customHeight="true">
      <c r="B14" s="8" t="s">
        <v>141</v>
      </c>
      <c r="C14" s="11">
        <v>5</v>
      </c>
      <c r="D14" s="11">
        <v>8</v>
      </c>
      <c r="E14" s="11">
        <v>10</v>
      </c>
      <c r="F14" s="11">
        <v>12</v>
      </c>
      <c r="G14" s="11">
        <v>14</v>
      </c>
      <c r="H14" s="11">
        <v>16</v>
      </c>
      <c r="I14" s="11">
        <v>18</v>
      </c>
      <c r="J14" s="11">
        <v>20</v>
      </c>
      <c r="K14" s="11">
        <v>22</v>
      </c>
      <c r="L14" s="11">
        <v>24</v>
      </c>
      <c r="M14" s="11">
        <v>24</v>
      </c>
      <c r="N14" s="11">
        <v>24</v>
      </c>
    </row>
    <row r="16" ht="21.75" customHeight="true">
      <c r="B16" s="3" t="s">
        <v>143</v>
      </c>
      <c r="C16" s="3"/>
      <c r="D16" s="3"/>
      <c r="E16" s="3"/>
      <c r="F16" s="3"/>
      <c r="G16" s="3"/>
      <c r="H16" s="3"/>
      <c r="I16" s="3"/>
      <c r="J16" s="3"/>
    </row>
    <row r="17" ht="18.75" customHeight="true">
      <c r="B17" s="4" t="s">
        <v>144</v>
      </c>
      <c r="C17" s="7">
        <f>=IF(C6&lt;=0.3,5,IF(C6&lt;=0.4,IF(C6&lt;0.4,5,8),IF(C6&lt;=0.5,IF(C6&lt;0.5,8,10),IF(C6&lt;=0.6,10,IF(C6&lt;=0.7,12,IF(C6&lt;=0.8,14,IF(C6&lt;=0.9,16,18)))))))</f>
      </c>
    </row>
    <row r="18" ht="18.75" customHeight="true">
      <c r="B18" s="4" t="s">
        <v>145</v>
      </c>
      <c r="C18" s="7">
        <f>=IF(C6&lt;=0.3,12,IF(C6&lt;=0.4,14,IF(C6&lt;=0.5,16,IF(C6&lt;=0.6,18,IF(C6&lt;=0.7,20,IF(C6&lt;=0.8,22,24))))))</f>
      </c>
    </row>
    <row r="19" ht="28.50" customHeight="true">
      <c r="B19" s="4" t="s">
        <v>146</v>
      </c>
      <c r="C19" s="7">
        <f>=IF(E6="HIGH", C18, C17)</f>
      </c>
      <c r="D19" s="4" t="s">
        <v>147</v>
      </c>
      <c r="E19" s="11">
        <f>=IF(E6="HIGH","🔶 Use em SARA grave / pulmão recrutável (titular pelo ΔP)","⚠️ Use em SARA leve-mod / pulmão pouco recrutável")</f>
      </c>
      <c r="F19" s="11"/>
      <c r="G19" s="11"/>
      <c r="H19" s="11"/>
      <c r="I19" s="11"/>
      <c r="J19" s="11"/>
    </row>
    <row r="21" ht="15.00" customHeight="true">
      <c r="B21" s="10" t="s">
        <v>148</v>
      </c>
      <c r="C21" s="10"/>
      <c r="D21" s="10"/>
      <c r="E21" s="10"/>
      <c r="F21" s="10"/>
      <c r="G21" s="10"/>
      <c r="H21" s="10"/>
      <c r="I21" s="10"/>
      <c r="J21" s="10"/>
    </row>
    <row r="22" ht="15.00" customHeight="true">
      <c r="B22" s="10" t="s">
        <v>149</v>
      </c>
      <c r="C22" s="10"/>
      <c r="D22" s="10"/>
      <c r="E22" s="10"/>
      <c r="F22" s="10"/>
      <c r="G22" s="10"/>
      <c r="H22" s="10"/>
      <c r="I22" s="10"/>
      <c r="J22" s="10"/>
    </row>
  </sheetData>
  <mergeCells count="10">
    <mergeCell ref="B2:J2"/>
    <mergeCell ref="B3:J3"/>
    <mergeCell ref="B5:J5"/>
    <mergeCell ref="F6:J6"/>
    <mergeCell ref="B8:J8"/>
    <mergeCell ref="B12:J12"/>
    <mergeCell ref="B16:J16"/>
    <mergeCell ref="E19:J19"/>
    <mergeCell ref="B21:J21"/>
    <mergeCell ref="B22:J22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8.71"/>
  <cols>
    <col min="1" max="1" width="1.96" customWidth="1" hidden="0"/>
    <col min="2" max="2" width="30.05" customWidth="1" hidden="0"/>
    <col min="3" max="4" width="13.98" customWidth="1" hidden="0"/>
    <col min="5" max="5" width="21.95" customWidth="1" hidden="0"/>
    <col min="6" max="10" width="13.98" customWidth="1" hidden="0"/>
  </cols>
  <sheetData>
    <row r="2" ht="31.50" customHeight="true">
      <c r="B2" s="1" t="s">
        <v>150</v>
      </c>
      <c r="C2" s="1"/>
      <c r="D2" s="1"/>
      <c r="E2" s="1"/>
      <c r="F2" s="1"/>
      <c r="G2" s="1"/>
      <c r="H2" s="1"/>
      <c r="I2" s="1"/>
      <c r="J2" s="1"/>
    </row>
    <row r="3" ht="15.00" customHeight="true">
      <c r="B3" s="10" t="s">
        <v>151</v>
      </c>
      <c r="C3" s="10"/>
      <c r="D3" s="10"/>
      <c r="E3" s="10"/>
      <c r="F3" s="10"/>
      <c r="G3" s="10"/>
      <c r="H3" s="10"/>
      <c r="I3" s="10"/>
      <c r="J3" s="10"/>
    </row>
    <row r="5" ht="21.75" customHeight="true">
      <c r="B5" s="3" t="s">
        <v>152</v>
      </c>
      <c r="C5" s="3"/>
      <c r="D5" s="3"/>
      <c r="E5" s="3"/>
      <c r="F5" s="3"/>
      <c r="G5" s="3"/>
      <c r="H5" s="3"/>
      <c r="I5" s="3"/>
      <c r="J5" s="3"/>
    </row>
    <row r="6" ht="28.50" customHeight="true">
      <c r="B6" s="4" t="s">
        <v>153</v>
      </c>
      <c r="C6" s="6">
        <v>92</v>
      </c>
      <c r="D6" s="4" t="s">
        <v>56</v>
      </c>
      <c r="E6" s="6">
        <v>0.6</v>
      </c>
      <c r="F6" s="4" t="s">
        <v>110</v>
      </c>
      <c r="G6" s="6">
        <v>28</v>
      </c>
      <c r="H6" s="4" t="s">
        <v>154</v>
      </c>
      <c r="I6" s="6" t="s">
        <v>155</v>
      </c>
    </row>
    <row r="8" ht="28.50" customHeight="true">
      <c r="B8" s="4" t="s">
        <v>156</v>
      </c>
      <c r="C8" s="7">
        <f>=IF(AND(E6&gt;0,G6&gt;0), C6/E6/G6, 0)</f>
      </c>
      <c r="D8" s="4" t="s">
        <v>157</v>
      </c>
      <c r="E8" s="7">
        <f>=IF(C8&gt;=4.88,"✅ Sucesso provável",IF(C8&gt;=3.85,"🟡 Zona cinzenta — reavaliar 1h",IF(C8&gt;=2.85,"🔶 Risco falha","🔴 Falha — IOT")))</f>
      </c>
      <c r="F8" s="7"/>
      <c r="G8" s="7"/>
      <c r="H8" s="7"/>
      <c r="I8" s="7"/>
      <c r="J8" s="7"/>
    </row>
    <row r="9" ht="18.75" customHeight="true">
      <c r="B9" s="4" t="s">
        <v>158</v>
      </c>
      <c r="E9" s="7">
        <f>=IF(C8&gt;=4.88,"✅ Sucesso provável",IF(C8&gt;=3.47,"🟡 Atenção","🔴 Falha — considerar IOT"))</f>
      </c>
      <c r="F9" s="7"/>
      <c r="G9" s="7"/>
      <c r="H9" s="7"/>
      <c r="I9" s="7"/>
      <c r="J9" s="7"/>
    </row>
    <row r="10" ht="18.75" customHeight="true">
      <c r="B10" s="4" t="s">
        <v>159</v>
      </c>
      <c r="E10" s="7">
        <f>=IF(C8&gt;=4.88,"✅ Sucesso muito provável",IF(C8&gt;=3.85,"🟡 Atenção","🔴 Falha — IOT precoce"))</f>
      </c>
      <c r="F10" s="7"/>
      <c r="G10" s="7"/>
      <c r="H10" s="7"/>
      <c r="I10" s="7"/>
      <c r="J10" s="7"/>
    </row>
    <row r="11" ht="28.50" customHeight="true">
      <c r="B11" s="4" t="s">
        <v>160</v>
      </c>
      <c r="E11" s="14">
        <f>=IF(I6="2h",E8,IF(I6="6h",E9,E10))</f>
      </c>
      <c r="F11" s="14"/>
      <c r="G11" s="14"/>
      <c r="H11" s="14"/>
      <c r="I11" s="14"/>
      <c r="J11" s="14"/>
    </row>
    <row r="12" ht="15.00" customHeight="true">
      <c r="B12" s="10" t="s">
        <v>161</v>
      </c>
      <c r="C12" s="10"/>
      <c r="D12" s="10"/>
      <c r="E12" s="10"/>
      <c r="F12" s="10"/>
      <c r="G12" s="10"/>
      <c r="H12" s="10"/>
      <c r="I12" s="10"/>
      <c r="J12" s="10"/>
    </row>
    <row r="14" ht="21.75" customHeight="true">
      <c r="B14" s="3" t="s">
        <v>162</v>
      </c>
      <c r="C14" s="3"/>
      <c r="D14" s="3"/>
      <c r="E14" s="3"/>
      <c r="F14" s="3"/>
      <c r="G14" s="3"/>
      <c r="H14" s="3"/>
      <c r="I14" s="3"/>
      <c r="J14" s="3"/>
    </row>
    <row r="15" ht="15.00" customHeight="true">
      <c r="B15" s="8" t="s">
        <v>163</v>
      </c>
      <c r="C15" s="8" t="s">
        <v>164</v>
      </c>
      <c r="D15" s="8">
        <v>0</v>
      </c>
      <c r="E15" s="8">
        <v>1</v>
      </c>
      <c r="F15" s="8">
        <v>2</v>
      </c>
      <c r="G15" s="8">
        <v>5</v>
      </c>
      <c r="H15" s="8">
        <v>10</v>
      </c>
      <c r="I15" s="8" t="s">
        <v>165</v>
      </c>
    </row>
    <row r="16" ht="18.75" customHeight="true">
      <c r="B16" s="4" t="s">
        <v>166</v>
      </c>
      <c r="C16" s="6">
        <v>130</v>
      </c>
      <c r="D16" s="15" t="s">
        <v>167</v>
      </c>
      <c r="E16" s="15" t="s">
        <v>168</v>
      </c>
      <c r="F16" s="15" t="s">
        <v>169</v>
      </c>
      <c r="G16" s="15" t="s">
        <v>169</v>
      </c>
      <c r="H16" s="15" t="s">
        <v>169</v>
      </c>
      <c r="I16" s="7">
        <f>=IF(C16&lt;=120,0,IF(C16&lt;=140,1,1))</f>
      </c>
    </row>
    <row r="17" ht="18.75" customHeight="true">
      <c r="B17" s="4" t="s">
        <v>16</v>
      </c>
      <c r="C17" s="6">
        <v>7.3</v>
      </c>
      <c r="D17" s="15" t="s">
        <v>170</v>
      </c>
      <c r="E17" s="15" t="s">
        <v>171</v>
      </c>
      <c r="F17" s="15" t="s">
        <v>172</v>
      </c>
      <c r="G17" s="15" t="s">
        <v>173</v>
      </c>
      <c r="H17" s="15" t="s">
        <v>169</v>
      </c>
      <c r="I17" s="7">
        <f>=IF(C17&gt;=7.35,0,IF(C17&gt;=7.3,1,IF(C17&gt;=7.25,2,5)))</f>
      </c>
    </row>
    <row r="18" ht="18.75" customHeight="true">
      <c r="B18" s="4" t="s">
        <v>174</v>
      </c>
      <c r="C18" s="6">
        <v>14</v>
      </c>
      <c r="D18" s="15">
        <v>15</v>
      </c>
      <c r="E18" s="15" t="s">
        <v>175</v>
      </c>
      <c r="F18" s="15" t="s">
        <v>176</v>
      </c>
      <c r="G18" s="15" t="s">
        <v>177</v>
      </c>
      <c r="H18" s="15" t="s">
        <v>169</v>
      </c>
      <c r="I18" s="7">
        <f>=IF(C18&gt;=15,0,IF(C18&gt;=13,1,IF(C18&gt;=11,2,5)))</f>
      </c>
    </row>
    <row r="19" ht="18.75" customHeight="true">
      <c r="B19" s="4" t="s">
        <v>178</v>
      </c>
      <c r="C19" s="6">
        <v>180</v>
      </c>
      <c r="D19" s="15" t="s">
        <v>179</v>
      </c>
      <c r="E19" s="15" t="s">
        <v>180</v>
      </c>
      <c r="F19" s="15" t="s">
        <v>181</v>
      </c>
      <c r="G19" s="15" t="s">
        <v>182</v>
      </c>
      <c r="H19" s="15" t="s">
        <v>183</v>
      </c>
      <c r="I19" s="7">
        <f>=IF(C19&gt;=201,0,IF(C19&gt;=176,1,IF(C19&gt;=151,2,IF(C19&gt;=126,5,10))))</f>
      </c>
    </row>
    <row r="20" ht="18.75" customHeight="true">
      <c r="B20" s="4" t="s">
        <v>184</v>
      </c>
      <c r="C20" s="6">
        <v>32</v>
      </c>
      <c r="D20" s="15" t="s">
        <v>185</v>
      </c>
      <c r="E20" s="15" t="s">
        <v>186</v>
      </c>
      <c r="F20" s="15" t="s">
        <v>187</v>
      </c>
      <c r="G20" s="15" t="s">
        <v>188</v>
      </c>
      <c r="H20" s="15" t="s">
        <v>189</v>
      </c>
      <c r="I20" s="7">
        <f>=IF(C20&lt;=30,0,IF(C20&lt;=35,1,IF(C20&lt;=40,2,IF(C20&lt;=45,5,10))))</f>
      </c>
    </row>
    <row r="22" ht="42.00" customHeight="true">
      <c r="B22" s="4" t="s">
        <v>190</v>
      </c>
      <c r="C22" s="7">
        <f>=SUM(I16:I20)</f>
      </c>
      <c r="D22" s="4" t="s">
        <v>191</v>
      </c>
      <c r="E22" s="16">
        <f>=IF(C22&lt;=5,"✅ HACOR ≤ 5 — Sucesso provável da VNI","🔴 HACOR ≥ 6 — FALHA PROVÁVEL: IOT precoce (não atrasar)")</f>
      </c>
      <c r="F22" s="16"/>
      <c r="G22" s="16"/>
      <c r="H22" s="16"/>
      <c r="I22" s="16"/>
      <c r="J22" s="16"/>
    </row>
    <row r="23" ht="15.00" customHeight="true">
      <c r="B23" s="10" t="s">
        <v>192</v>
      </c>
      <c r="C23" s="10"/>
      <c r="D23" s="10"/>
      <c r="E23" s="10"/>
      <c r="F23" s="10"/>
      <c r="G23" s="10"/>
      <c r="H23" s="10"/>
      <c r="I23" s="10"/>
      <c r="J23" s="10"/>
    </row>
  </sheetData>
  <mergeCells count="11">
    <mergeCell ref="B2:J2"/>
    <mergeCell ref="B3:J3"/>
    <mergeCell ref="B5:J5"/>
    <mergeCell ref="E8:J8"/>
    <mergeCell ref="E9:J9"/>
    <mergeCell ref="E10:J10"/>
    <mergeCell ref="E11:J11"/>
    <mergeCell ref="B12:J12"/>
    <mergeCell ref="B14:J14"/>
    <mergeCell ref="E22:J22"/>
    <mergeCell ref="B23:J23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8.71"/>
  <cols>
    <col min="1" max="1" width="1.96" customWidth="1" hidden="0"/>
    <col min="2" max="2" width="27.96" customWidth="1" hidden="0"/>
    <col min="3" max="8" width="13.98" customWidth="1" hidden="0"/>
    <col min="9" max="9" width="18.03" customWidth="1" hidden="0"/>
    <col min="10" max="10" width="13.98" customWidth="1" hidden="0"/>
  </cols>
  <sheetData>
    <row r="2" ht="31.50" customHeight="true">
      <c r="B2" s="1" t="s">
        <v>193</v>
      </c>
      <c r="C2" s="1"/>
      <c r="D2" s="1"/>
      <c r="E2" s="1"/>
      <c r="F2" s="1"/>
      <c r="G2" s="1"/>
      <c r="H2" s="1"/>
      <c r="I2" s="1"/>
      <c r="J2" s="1"/>
    </row>
    <row r="3" ht="15.00" customHeight="true">
      <c r="B3" s="10" t="s">
        <v>194</v>
      </c>
      <c r="C3" s="10"/>
      <c r="D3" s="10"/>
      <c r="E3" s="10"/>
      <c r="F3" s="10"/>
      <c r="G3" s="10"/>
      <c r="H3" s="10"/>
      <c r="I3" s="10"/>
      <c r="J3" s="10"/>
    </row>
    <row r="5" ht="28.50" customHeight="true">
      <c r="B5" s="4" t="s">
        <v>195</v>
      </c>
      <c r="C5" s="6">
        <v>70</v>
      </c>
    </row>
    <row r="7" ht="21.75" customHeight="true">
      <c r="B7" s="3" t="s">
        <v>196</v>
      </c>
      <c r="C7" s="3"/>
      <c r="D7" s="3"/>
      <c r="E7" s="3"/>
      <c r="F7" s="3"/>
      <c r="G7" s="3"/>
      <c r="H7" s="3"/>
      <c r="I7" s="3"/>
      <c r="J7" s="3"/>
    </row>
    <row r="8" ht="30.00" customHeight="true">
      <c r="B8" s="8" t="s">
        <v>197</v>
      </c>
      <c r="C8" s="8" t="s">
        <v>198</v>
      </c>
      <c r="D8" s="8" t="s">
        <v>199</v>
      </c>
      <c r="E8" s="8" t="s">
        <v>200</v>
      </c>
      <c r="F8" s="8" t="s">
        <v>110</v>
      </c>
      <c r="G8" s="8" t="s">
        <v>141</v>
      </c>
      <c r="H8" s="8" t="s">
        <v>140</v>
      </c>
      <c r="I8" s="8" t="s">
        <v>201</v>
      </c>
      <c r="J8" s="8" t="s">
        <v>202</v>
      </c>
    </row>
    <row r="9" ht="42.00" customHeight="true">
      <c r="B9" s="4" t="s">
        <v>203</v>
      </c>
      <c r="C9" s="17" t="s">
        <v>204</v>
      </c>
      <c r="D9" s="17">
        <v>7</v>
      </c>
      <c r="E9" s="7">
        <f>=ROUND($C$5*7,0)</f>
      </c>
      <c r="F9" s="17" t="s">
        <v>205</v>
      </c>
      <c r="G9" s="17">
        <v>5</v>
      </c>
      <c r="H9" s="17" t="s">
        <v>206</v>
      </c>
      <c r="I9" s="17" t="s">
        <v>207</v>
      </c>
      <c r="J9" s="17" t="s">
        <v>208</v>
      </c>
    </row>
    <row r="10" ht="42.00" customHeight="true">
      <c r="B10" s="4" t="s">
        <v>209</v>
      </c>
      <c r="C10" s="13" t="s">
        <v>210</v>
      </c>
      <c r="D10" s="13">
        <v>6</v>
      </c>
      <c r="E10" s="7">
        <f>=ROUND($C$5*6,0)</f>
      </c>
      <c r="F10" s="13" t="s">
        <v>211</v>
      </c>
      <c r="G10" s="13" t="s">
        <v>212</v>
      </c>
      <c r="H10" s="13" t="s">
        <v>213</v>
      </c>
      <c r="I10" s="13" t="s">
        <v>207</v>
      </c>
      <c r="J10" s="13" t="s">
        <v>214</v>
      </c>
    </row>
    <row r="11" ht="42.00" customHeight="true">
      <c r="B11" s="4" t="s">
        <v>215</v>
      </c>
      <c r="C11" s="17" t="s">
        <v>210</v>
      </c>
      <c r="D11" s="17">
        <v>6</v>
      </c>
      <c r="E11" s="7">
        <f>=ROUND($C$5*6,0)</f>
      </c>
      <c r="F11" s="17" t="s">
        <v>216</v>
      </c>
      <c r="G11" s="17" t="s">
        <v>217</v>
      </c>
      <c r="H11" s="17" t="s">
        <v>218</v>
      </c>
      <c r="I11" s="17" t="s">
        <v>207</v>
      </c>
      <c r="J11" s="17" t="s">
        <v>219</v>
      </c>
    </row>
    <row r="12" ht="42.00" customHeight="true">
      <c r="B12" s="4" t="s">
        <v>220</v>
      </c>
      <c r="C12" s="13" t="s">
        <v>210</v>
      </c>
      <c r="D12" s="13">
        <v>5</v>
      </c>
      <c r="E12" s="7">
        <f>=ROUND($C$5*5,0)</f>
      </c>
      <c r="F12" s="13" t="s">
        <v>221</v>
      </c>
      <c r="G12" s="13" t="s">
        <v>222</v>
      </c>
      <c r="H12" s="13" t="s">
        <v>223</v>
      </c>
      <c r="I12" s="13" t="s">
        <v>207</v>
      </c>
      <c r="J12" s="13" t="s">
        <v>224</v>
      </c>
    </row>
    <row r="13" ht="42.00" customHeight="true">
      <c r="B13" s="4" t="s">
        <v>225</v>
      </c>
      <c r="C13" s="17" t="s">
        <v>204</v>
      </c>
      <c r="D13" s="17">
        <v>7</v>
      </c>
      <c r="E13" s="7">
        <f>=ROUND($C$5*7,0)</f>
      </c>
      <c r="F13" s="17" t="s">
        <v>226</v>
      </c>
      <c r="G13" s="17" t="s">
        <v>227</v>
      </c>
      <c r="H13" s="17" t="s">
        <v>228</v>
      </c>
      <c r="I13" s="17" t="s">
        <v>229</v>
      </c>
      <c r="J13" s="17" t="s">
        <v>230</v>
      </c>
    </row>
    <row r="14" ht="42.00" customHeight="true">
      <c r="B14" s="4" t="s">
        <v>231</v>
      </c>
      <c r="C14" s="13" t="s">
        <v>210</v>
      </c>
      <c r="D14" s="13">
        <v>6</v>
      </c>
      <c r="E14" s="7">
        <f>=ROUND($C$5*6,0)</f>
      </c>
      <c r="F14" s="13" t="s">
        <v>212</v>
      </c>
      <c r="G14" s="13" t="s">
        <v>227</v>
      </c>
      <c r="H14" s="13" t="s">
        <v>232</v>
      </c>
      <c r="I14" s="13" t="s">
        <v>233</v>
      </c>
      <c r="J14" s="13" t="s">
        <v>234</v>
      </c>
    </row>
    <row r="15" ht="42.00" customHeight="true">
      <c r="B15" s="4" t="s">
        <v>235</v>
      </c>
      <c r="C15" s="17" t="s">
        <v>210</v>
      </c>
      <c r="D15" s="17">
        <v>7</v>
      </c>
      <c r="E15" s="7">
        <f>=ROUND($C$5*7,0)</f>
      </c>
      <c r="F15" s="17" t="s">
        <v>236</v>
      </c>
      <c r="G15" s="17" t="s">
        <v>237</v>
      </c>
      <c r="H15" s="17" t="s">
        <v>238</v>
      </c>
      <c r="I15" s="17" t="s">
        <v>207</v>
      </c>
      <c r="J15" s="17" t="s">
        <v>239</v>
      </c>
    </row>
    <row r="16" ht="42.00" customHeight="true">
      <c r="B16" s="4" t="s">
        <v>240</v>
      </c>
      <c r="C16" s="13" t="s">
        <v>210</v>
      </c>
      <c r="D16" s="13">
        <v>7</v>
      </c>
      <c r="E16" s="7">
        <f>=ROUND($C$5*7,0)</f>
      </c>
      <c r="F16" s="13" t="s">
        <v>236</v>
      </c>
      <c r="G16" s="13" t="s">
        <v>237</v>
      </c>
      <c r="H16" s="13" t="s">
        <v>241</v>
      </c>
      <c r="I16" s="13" t="s">
        <v>207</v>
      </c>
      <c r="J16" s="13" t="s">
        <v>242</v>
      </c>
    </row>
    <row r="17" ht="55.50" customHeight="true">
      <c r="B17" s="4" t="s">
        <v>243</v>
      </c>
      <c r="C17" s="17" t="s">
        <v>244</v>
      </c>
      <c r="D17" s="17">
        <v>6</v>
      </c>
      <c r="E17" s="7">
        <f>=ROUND($C$5*6,0)</f>
      </c>
      <c r="F17" s="17" t="s">
        <v>245</v>
      </c>
      <c r="G17" s="17" t="s">
        <v>226</v>
      </c>
      <c r="H17" s="17" t="s">
        <v>232</v>
      </c>
      <c r="I17" s="17" t="s">
        <v>207</v>
      </c>
      <c r="J17" s="17" t="s">
        <v>246</v>
      </c>
    </row>
    <row r="18" ht="55.50" customHeight="true">
      <c r="B18" s="4" t="s">
        <v>247</v>
      </c>
      <c r="C18" s="13" t="s">
        <v>248</v>
      </c>
      <c r="D18" s="13">
        <v>6</v>
      </c>
      <c r="E18" s="7">
        <f>=ROUND($C$5*6,0)</f>
      </c>
      <c r="F18" s="13" t="s">
        <v>249</v>
      </c>
      <c r="G18" s="13" t="s">
        <v>237</v>
      </c>
      <c r="H18" s="13" t="s">
        <v>232</v>
      </c>
      <c r="I18" s="13" t="s">
        <v>207</v>
      </c>
      <c r="J18" s="13" t="s">
        <v>250</v>
      </c>
    </row>
  </sheetData>
  <mergeCells count="3">
    <mergeCell ref="B2:J2"/>
    <mergeCell ref="B3:J3"/>
    <mergeCell ref="B7:J7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8.71"/>
  <cols>
    <col min="1" max="1" width="1.96" customWidth="1" hidden="0"/>
    <col min="2" max="2" width="38.02" customWidth="1" hidden="0"/>
    <col min="3" max="3" width="50.04" customWidth="1" hidden="0"/>
    <col min="4" max="4" width="30.05" customWidth="1" hidden="0"/>
  </cols>
  <sheetData>
    <row r="2" ht="31.50" customHeight="true">
      <c r="B2" s="1" t="s">
        <v>251</v>
      </c>
      <c r="C2" s="1"/>
      <c r="D2" s="1"/>
    </row>
    <row r="3" ht="15.00" customHeight="true">
      <c r="B3" s="10" t="s">
        <v>252</v>
      </c>
      <c r="C3" s="10"/>
      <c r="D3" s="10"/>
    </row>
    <row r="5" ht="21.75" customHeight="true">
      <c r="B5" s="3" t="s">
        <v>253</v>
      </c>
      <c r="C5" s="3"/>
      <c r="D5" s="3"/>
    </row>
    <row r="6" ht="15.00" customHeight="true">
      <c r="B6" s="8" t="s">
        <v>254</v>
      </c>
      <c r="C6" s="8" t="s">
        <v>255</v>
      </c>
      <c r="D6" s="8" t="s">
        <v>256</v>
      </c>
    </row>
    <row r="7" ht="15.00" customHeight="true">
      <c r="B7" s="4" t="s">
        <v>257</v>
      </c>
      <c r="C7" s="18" t="s">
        <v>258</v>
      </c>
      <c r="D7" s="19" t="s">
        <v>259</v>
      </c>
    </row>
    <row r="8" ht="15.00" customHeight="true">
      <c r="B8" s="4" t="s">
        <v>260</v>
      </c>
      <c r="C8" s="20" t="s">
        <v>261</v>
      </c>
      <c r="D8" s="21" t="s">
        <v>259</v>
      </c>
    </row>
    <row r="9" ht="15.00" customHeight="true">
      <c r="B9" s="4" t="s">
        <v>262</v>
      </c>
      <c r="C9" s="18" t="s">
        <v>263</v>
      </c>
      <c r="D9" s="19" t="s">
        <v>264</v>
      </c>
    </row>
    <row r="10" ht="15.00" customHeight="true">
      <c r="B10" s="4" t="s">
        <v>265</v>
      </c>
      <c r="C10" s="20" t="s">
        <v>266</v>
      </c>
      <c r="D10" s="21" t="s">
        <v>267</v>
      </c>
    </row>
    <row r="11" ht="15.00" customHeight="true">
      <c r="B11" s="4" t="s">
        <v>268</v>
      </c>
      <c r="C11" s="18" t="s">
        <v>269</v>
      </c>
      <c r="D11" s="19" t="s">
        <v>270</v>
      </c>
    </row>
    <row r="12" ht="15.00" customHeight="true">
      <c r="B12" s="4" t="s">
        <v>271</v>
      </c>
      <c r="C12" s="20" t="s">
        <v>272</v>
      </c>
      <c r="D12" s="21" t="s">
        <v>273</v>
      </c>
    </row>
    <row r="13" ht="15.00" customHeight="true">
      <c r="B13" s="4" t="s">
        <v>274</v>
      </c>
      <c r="C13" s="18" t="s">
        <v>275</v>
      </c>
      <c r="D13" s="19" t="s">
        <v>276</v>
      </c>
    </row>
    <row r="14" ht="15.00" customHeight="true">
      <c r="B14" s="4" t="s">
        <v>277</v>
      </c>
      <c r="C14" s="20" t="s">
        <v>278</v>
      </c>
      <c r="D14" s="21" t="s">
        <v>279</v>
      </c>
    </row>
    <row r="15" ht="15.00" customHeight="true">
      <c r="B15" s="4" t="s">
        <v>280</v>
      </c>
      <c r="C15" s="18" t="s">
        <v>281</v>
      </c>
      <c r="D15" s="19" t="s">
        <v>282</v>
      </c>
    </row>
    <row r="16" ht="15.00" customHeight="true">
      <c r="B16" s="4" t="s">
        <v>283</v>
      </c>
      <c r="C16" s="20" t="s">
        <v>156</v>
      </c>
      <c r="D16" s="21" t="s">
        <v>284</v>
      </c>
    </row>
    <row r="17" ht="15.00" customHeight="true">
      <c r="B17" s="4" t="s">
        <v>285</v>
      </c>
      <c r="C17" s="18" t="s">
        <v>286</v>
      </c>
      <c r="D17" s="19" t="s">
        <v>287</v>
      </c>
    </row>
    <row r="18" ht="15.00" customHeight="true">
      <c r="B18" s="4" t="s">
        <v>288</v>
      </c>
      <c r="C18" s="20" t="s">
        <v>289</v>
      </c>
      <c r="D18" s="21" t="s">
        <v>290</v>
      </c>
    </row>
    <row r="19" ht="15.00" customHeight="true">
      <c r="B19" s="4" t="s">
        <v>291</v>
      </c>
      <c r="C19" s="18" t="s">
        <v>292</v>
      </c>
      <c r="D19" s="19" t="s">
        <v>293</v>
      </c>
    </row>
    <row r="20" ht="15.00" customHeight="true">
      <c r="B20" s="4" t="s">
        <v>294</v>
      </c>
      <c r="C20" s="20" t="s">
        <v>295</v>
      </c>
      <c r="D20" s="21" t="s">
        <v>296</v>
      </c>
    </row>
    <row r="21" ht="15.00" customHeight="true">
      <c r="B21" s="4" t="s">
        <v>297</v>
      </c>
      <c r="C21" s="18" t="s">
        <v>298</v>
      </c>
      <c r="D21" s="19" t="s">
        <v>299</v>
      </c>
    </row>
    <row r="22" ht="15.00" customHeight="true">
      <c r="B22" s="4" t="s">
        <v>300</v>
      </c>
      <c r="C22" s="20" t="s">
        <v>301</v>
      </c>
      <c r="D22" s="21" t="s">
        <v>302</v>
      </c>
    </row>
    <row r="23" ht="15.00" customHeight="true">
      <c r="B23" s="4" t="s">
        <v>303</v>
      </c>
      <c r="C23" s="18" t="s">
        <v>304</v>
      </c>
      <c r="D23" s="19" t="s">
        <v>305</v>
      </c>
    </row>
    <row r="24" ht="15.00" customHeight="true">
      <c r="B24" s="4" t="s">
        <v>306</v>
      </c>
      <c r="C24" s="20" t="s">
        <v>307</v>
      </c>
      <c r="D24" s="21" t="s">
        <v>308</v>
      </c>
    </row>
    <row r="25" ht="15.00" customHeight="true">
      <c r="B25" s="4" t="s">
        <v>309</v>
      </c>
      <c r="C25" s="18" t="s">
        <v>310</v>
      </c>
      <c r="D25" s="19" t="s">
        <v>311</v>
      </c>
    </row>
    <row r="26" ht="15.00" customHeight="true">
      <c r="B26" s="4" t="s">
        <v>312</v>
      </c>
      <c r="C26" s="20" t="s">
        <v>313</v>
      </c>
      <c r="D26" s="21" t="s">
        <v>314</v>
      </c>
    </row>
    <row r="27" ht="15.00" customHeight="true">
      <c r="B27" s="4" t="s">
        <v>315</v>
      </c>
      <c r="C27" s="18" t="s">
        <v>316</v>
      </c>
      <c r="D27" s="19" t="s">
        <v>317</v>
      </c>
    </row>
    <row r="30" ht="21.75" customHeight="true">
      <c r="B30" s="3" t="s">
        <v>318</v>
      </c>
      <c r="C30" s="3"/>
      <c r="D30" s="3"/>
    </row>
    <row r="31" ht="15.00" customHeight="true">
      <c r="B31" s="8" t="s">
        <v>197</v>
      </c>
      <c r="C31" s="8" t="s">
        <v>319</v>
      </c>
    </row>
    <row r="32" ht="15.00" customHeight="true">
      <c r="B32" s="4" t="s">
        <v>320</v>
      </c>
      <c r="C32" s="22" t="s">
        <v>321</v>
      </c>
      <c r="D32" s="22"/>
    </row>
    <row r="33" ht="15.00" customHeight="true">
      <c r="B33" s="4" t="s">
        <v>322</v>
      </c>
      <c r="C33" s="22" t="s">
        <v>323</v>
      </c>
      <c r="D33" s="22"/>
    </row>
    <row r="34" ht="15.00" customHeight="true">
      <c r="B34" s="4" t="s">
        <v>324</v>
      </c>
      <c r="C34" s="22" t="s">
        <v>325</v>
      </c>
      <c r="D34" s="22"/>
    </row>
    <row r="35" ht="15.00" customHeight="true">
      <c r="B35" s="4" t="s">
        <v>326</v>
      </c>
      <c r="C35" s="22" t="s">
        <v>327</v>
      </c>
      <c r="D35" s="22"/>
    </row>
    <row r="36" ht="15.00" customHeight="true">
      <c r="B36" s="4" t="s">
        <v>328</v>
      </c>
      <c r="C36" s="22" t="s">
        <v>329</v>
      </c>
      <c r="D36" s="22"/>
    </row>
    <row r="37" ht="15.00" customHeight="true">
      <c r="B37" s="4" t="s">
        <v>330</v>
      </c>
      <c r="C37" s="22" t="s">
        <v>331</v>
      </c>
      <c r="D37" s="22"/>
    </row>
    <row r="38" ht="15.00" customHeight="true">
      <c r="B38" s="4" t="s">
        <v>240</v>
      </c>
      <c r="C38" s="22" t="s">
        <v>332</v>
      </c>
      <c r="D38" s="22"/>
    </row>
    <row r="41" ht="21.75" customHeight="true">
      <c r="B41" s="3" t="s">
        <v>333</v>
      </c>
      <c r="C41" s="3"/>
      <c r="D41" s="3"/>
    </row>
    <row r="42" ht="15.00" customHeight="true">
      <c r="B42" s="23" t="s">
        <v>334</v>
      </c>
      <c r="C42" s="23"/>
      <c r="D42" s="23"/>
    </row>
    <row r="43" ht="15.00" customHeight="true">
      <c r="B43" s="23" t="s">
        <v>335</v>
      </c>
      <c r="C43" s="23"/>
      <c r="D43" s="23"/>
    </row>
    <row r="44" ht="15.00" customHeight="true">
      <c r="B44" s="23" t="s">
        <v>336</v>
      </c>
      <c r="C44" s="23"/>
      <c r="D44" s="23"/>
    </row>
    <row r="45" ht="15.00" customHeight="true">
      <c r="B45" s="23" t="s">
        <v>337</v>
      </c>
      <c r="C45" s="23"/>
      <c r="D45" s="23"/>
    </row>
    <row r="46" ht="15.00" customHeight="true">
      <c r="B46" s="23" t="s">
        <v>338</v>
      </c>
      <c r="C46" s="23"/>
      <c r="D46" s="23"/>
    </row>
    <row r="47" ht="15.00" customHeight="true">
      <c r="B47" s="23" t="s">
        <v>339</v>
      </c>
      <c r="C47" s="23"/>
      <c r="D47" s="23"/>
    </row>
    <row r="48" ht="15.00" customHeight="true">
      <c r="B48" s="23" t="s">
        <v>340</v>
      </c>
      <c r="C48" s="23"/>
      <c r="D48" s="23"/>
    </row>
    <row r="49" ht="15.00" customHeight="true">
      <c r="B49" s="23" t="s">
        <v>341</v>
      </c>
      <c r="C49" s="23"/>
      <c r="D49" s="23"/>
    </row>
  </sheetData>
  <mergeCells count="20">
    <mergeCell ref="B2:D2"/>
    <mergeCell ref="B3:D3"/>
    <mergeCell ref="B5:D5"/>
    <mergeCell ref="B30:D30"/>
    <mergeCell ref="C32:D32"/>
    <mergeCell ref="C33:D33"/>
    <mergeCell ref="C34:D34"/>
    <mergeCell ref="C35:D35"/>
    <mergeCell ref="C36:D36"/>
    <mergeCell ref="C37:D37"/>
    <mergeCell ref="C38:D38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7</vt:i4>
      </vt:variant>
    </vt:vector>
  </HeadingPairs>
  <TitlesOfParts>
    <vt:vector size="7" baseType="lpstr">
      <vt:lpstr>🫁 MECÂNICA</vt:lpstr>
      <vt:lpstr>⚙️ PEEP-FiO2</vt:lpstr>
      <vt:lpstr>🌬️ ROX-HACOR</vt:lpstr>
      <vt:lpstr>📋 RECEITAS</vt:lpstr>
      <vt:lpstr>📚 REFERÊNCIA</vt:lpstr>
      <vt:lpstr>🏠 INÍCIO</vt:lpstr>
      <vt:lpstr>📊 GASOMETRIA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2026-04-28T19:06:32Z</dcterms:created>
  <dcterms:modified xsi:type="dcterms:W3CDTF">2026-04-28T19:06:32Z</dcterms:modified>
</cp:coreProperties>
</file>