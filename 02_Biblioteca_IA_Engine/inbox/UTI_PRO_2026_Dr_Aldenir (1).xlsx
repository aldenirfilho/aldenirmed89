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ÍNDICE" sheetId="1" state="visible" r:id="rId1"/>
    <sheet xmlns:r="http://schemas.openxmlformats.org/officeDocument/2006/relationships" name="01_SEDAÇÃO_DVA" sheetId="2" state="visible" r:id="rId2"/>
    <sheet xmlns:r="http://schemas.openxmlformats.org/officeDocument/2006/relationships" name="02_HEPARINA" sheetId="3" state="visible" r:id="rId3"/>
    <sheet xmlns:r="http://schemas.openxmlformats.org/officeDocument/2006/relationships" name="03_SÓDIO_ELET" sheetId="4" state="visible" r:id="rId4"/>
    <sheet xmlns:r="http://schemas.openxmlformats.org/officeDocument/2006/relationships" name="04_ROX_VPP_VPS" sheetId="5" state="visible" r:id="rId5"/>
    <sheet xmlns:r="http://schemas.openxmlformats.org/officeDocument/2006/relationships" name="05_VM_ARDS" sheetId="6" state="visible" r:id="rId6"/>
    <sheet xmlns:r="http://schemas.openxmlformats.org/officeDocument/2006/relationships" name="06_SEQ_RAPIDA" sheetId="7" state="visible" r:id="rId7"/>
    <sheet xmlns:r="http://schemas.openxmlformats.org/officeDocument/2006/relationships" name="07_ARRITMIAS" sheetId="8" state="visible" r:id="rId8"/>
    <sheet xmlns:r="http://schemas.openxmlformats.org/officeDocument/2006/relationships" name="08_SAPS3" sheetId="9" state="visible" r:id="rId9"/>
    <sheet xmlns:r="http://schemas.openxmlformats.org/officeDocument/2006/relationships" name="09_SEPSE_CHOQUE" sheetId="10" state="visible" r:id="rId10"/>
    <sheet xmlns:r="http://schemas.openxmlformats.org/officeDocument/2006/relationships" name="10_DEVICES" sheetId="11" state="visible" r:id="rId11"/>
    <sheet xmlns:r="http://schemas.openxmlformats.org/officeDocument/2006/relationships" name="11_PRIORIDADE" sheetId="12" state="visible" r:id="rId12"/>
    <sheet xmlns:r="http://schemas.openxmlformats.org/officeDocument/2006/relationships" name="12_ATB_RENAL" sheetId="13" state="visible" r:id="rId13"/>
    <sheet xmlns:r="http://schemas.openxmlformats.org/officeDocument/2006/relationships" name="13_MEDS_RENAIS" sheetId="14" state="visible" r:id="rId14"/>
    <sheet xmlns:r="http://schemas.openxmlformats.org/officeDocument/2006/relationships" name="14_ANTICOAG" sheetId="15" state="visible" r:id="rId15"/>
    <sheet xmlns:r="http://schemas.openxmlformats.org/officeDocument/2006/relationships" name="15_CONTRAIND" sheetId="16" state="visible" r:id="rId16"/>
    <sheet xmlns:r="http://schemas.openxmlformats.org/officeDocument/2006/relationships" name="16_FLUXOGRAMAS" sheetId="17" state="visible" r:id="rId17"/>
    <sheet xmlns:r="http://schemas.openxmlformats.org/officeDocument/2006/relationships" name="17_FON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BAE6FD"/>
      <sz val="9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b val="1"/>
      <color rgb="000D1F3C"/>
      <sz val="10"/>
    </font>
    <font>
      <name val="Calibri"/>
      <color rgb="00111827"/>
      <sz val="9"/>
    </font>
    <font>
      <name val="Calibri"/>
      <b val="1"/>
      <i val="1"/>
      <color rgb="0092400E"/>
      <sz val="9"/>
    </font>
    <font>
      <name val="Calibri"/>
      <b val="1"/>
      <color rgb="00FFFFFF"/>
      <sz val="11"/>
    </font>
    <font>
      <name val="Calibri"/>
      <b val="1"/>
      <color rgb="0078350F"/>
      <sz val="11"/>
    </font>
    <font>
      <name val="Calibri"/>
      <b val="1"/>
      <color rgb="00111827"/>
      <sz val="9"/>
    </font>
    <font>
      <name val="Calibri"/>
      <i val="1"/>
      <color rgb="00111827"/>
      <sz val="8"/>
    </font>
    <font>
      <name val="Calibri"/>
      <b val="1"/>
      <color rgb="00166534"/>
      <sz val="12"/>
    </font>
    <font>
      <name val="Calibri"/>
      <b val="1"/>
      <color rgb="001D4ED8"/>
      <sz val="12"/>
    </font>
    <font>
      <name val="Calibri"/>
      <b val="1"/>
      <color rgb="000D1F3C"/>
      <sz val="13"/>
    </font>
    <font>
      <name val="Calibri"/>
      <b val="1"/>
      <color rgb="00166534"/>
      <sz val="11"/>
    </font>
    <font>
      <name val="Calibri"/>
      <b val="1"/>
      <color rgb="000D1F3C"/>
      <sz val="12"/>
    </font>
    <font>
      <name val="Calibri"/>
      <b val="1"/>
      <color rgb="00991B1B"/>
      <sz val="9"/>
    </font>
    <font>
      <name val="Calibri"/>
      <color rgb="0092400E"/>
      <sz val="9"/>
    </font>
    <font>
      <name val="Calibri"/>
      <b val="1"/>
      <color rgb="00BAE6FD"/>
      <sz val="9"/>
    </font>
    <font>
      <name val="Calibri"/>
      <b val="1"/>
      <color rgb="001D4ED8"/>
      <sz val="11"/>
    </font>
    <font>
      <name val="Calibri"/>
      <b val="1"/>
      <color rgb="000D1F3C"/>
      <sz val="11"/>
    </font>
    <font>
      <name val="Calibri"/>
      <b val="1"/>
      <color rgb="001D4ED8"/>
      <sz val="9"/>
    </font>
    <font>
      <name val="Calibri"/>
      <b val="1"/>
      <color rgb="001D4ED8"/>
      <sz val="10"/>
    </font>
    <font>
      <name val="Calibri"/>
      <color rgb="001D4ED8"/>
      <sz val="9"/>
    </font>
    <font>
      <name val="Calibri"/>
      <b val="1"/>
      <color rgb="00166534"/>
      <sz val="10"/>
    </font>
    <font>
      <name val="Calibri"/>
      <b val="1"/>
      <color rgb="0078350F"/>
      <sz val="9"/>
    </font>
    <font>
      <name val="Calibri"/>
      <b val="1"/>
      <color rgb="000D1F3C"/>
      <sz val="9"/>
    </font>
    <font>
      <name val="Calibri"/>
      <b val="1"/>
      <color rgb="0092400E"/>
      <sz val="9"/>
    </font>
    <font>
      <name val="Calibri"/>
      <b val="1"/>
      <i val="1"/>
      <color rgb="0092400E"/>
      <sz val="8"/>
    </font>
    <font>
      <name val="Calibri"/>
      <b val="1"/>
      <color rgb="001D4ED8"/>
      <sz val="8"/>
    </font>
    <font>
      <name val="Calibri"/>
      <b val="1"/>
      <color rgb="0092400E"/>
      <sz val="8"/>
    </font>
    <font>
      <name val="Calibri"/>
      <b val="1"/>
      <color rgb="00166534"/>
      <sz val="9"/>
    </font>
    <font>
      <name val="Calibri"/>
      <color rgb="00166534"/>
      <sz val="9"/>
    </font>
  </fonts>
  <fills count="23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1A3A6B"/>
      </patternFill>
    </fill>
    <fill>
      <patternFill patternType="solid">
        <fgColor rgb="00374151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0EA5E9"/>
      </patternFill>
    </fill>
    <fill>
      <patternFill patternType="solid">
        <fgColor rgb="00065F46"/>
      </patternFill>
    </fill>
    <fill>
      <patternFill patternType="solid">
        <fgColor rgb="007C3AED"/>
      </patternFill>
    </fill>
    <fill>
      <patternFill patternType="solid">
        <fgColor rgb="00B45309"/>
      </patternFill>
    </fill>
    <fill>
      <patternFill patternType="solid">
        <fgColor rgb="00BE123C"/>
      </patternFill>
    </fill>
    <fill>
      <patternFill patternType="solid">
        <fgColor rgb="000D9488"/>
      </patternFill>
    </fill>
    <fill>
      <patternFill patternType="solid">
        <fgColor rgb="00C2410C"/>
      </patternFill>
    </fill>
    <fill>
      <patternFill patternType="solid">
        <fgColor rgb="0016A34A"/>
      </patternFill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E0F2FE"/>
      </patternFill>
    </fill>
    <fill>
      <patternFill patternType="solid">
        <fgColor rgb="00FEE2E2"/>
      </patternFill>
    </fill>
    <fill>
      <patternFill patternType="solid">
        <fgColor rgb="00FFFDE7"/>
      </patternFill>
    </fill>
    <fill>
      <patternFill patternType="solid">
        <fgColor rgb="00F1F5F9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medium">
        <color rgb="00334155"/>
      </left>
      <right style="medium">
        <color rgb="00334155"/>
      </right>
      <top style="medium">
        <color rgb="00334155"/>
      </top>
      <bottom style="medium">
        <color rgb="00334155"/>
      </bottom>
    </border>
    <border>
      <left/>
      <right/>
      <top style="medium">
        <color rgb="00334155"/>
      </top>
      <bottom/>
      <diagonal/>
    </border>
    <border>
      <left/>
      <right style="medium">
        <color rgb="00334155"/>
      </right>
      <top style="medium">
        <color rgb="00334155"/>
      </top>
      <bottom/>
      <diagonal/>
    </border>
    <border>
      <left/>
      <right/>
      <top style="medium">
        <color rgb="00334155"/>
      </top>
      <bottom style="medium">
        <color rgb="00334155"/>
      </bottom>
      <diagonal/>
    </border>
    <border>
      <left/>
      <right style="medium">
        <color rgb="00334155"/>
      </right>
      <top style="medium">
        <color rgb="00334155"/>
      </top>
      <bottom style="medium">
        <color rgb="00334155"/>
      </bottom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7" fillId="16" borderId="6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12" fillId="18" borderId="6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13" fillId="19" borderId="6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4" fillId="17" borderId="6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5" fillId="18" borderId="6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5" fillId="19" borderId="6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6" fillId="17" borderId="6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18" fillId="1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center" vertical="center"/>
    </xf>
    <xf numFmtId="0" fontId="21" fillId="17" borderId="6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5" fillId="17" borderId="6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center" vertical="center"/>
    </xf>
    <xf numFmtId="0" fontId="24" fillId="19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25" fillId="19" borderId="1" applyAlignment="1" pivotButton="0" quotePrefix="0" xfId="0">
      <alignment horizontal="center" vertical="center" wrapText="1"/>
    </xf>
    <xf numFmtId="0" fontId="26" fillId="17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25" fillId="18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0" fillId="22" borderId="0" pivotButton="0" quotePrefix="0" xfId="0"/>
    <xf numFmtId="0" fontId="10" fillId="5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center" vertical="center" wrapText="1"/>
    </xf>
    <xf numFmtId="0" fontId="28" fillId="16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22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23" fillId="19" borderId="1" applyAlignment="1" pivotButton="0" quotePrefix="0" xfId="0">
      <alignment horizontal="center" vertical="center"/>
    </xf>
    <xf numFmtId="0" fontId="29" fillId="16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center" vertical="center"/>
    </xf>
    <xf numFmtId="0" fontId="30" fillId="1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center" vertical="center" wrapText="1"/>
    </xf>
    <xf numFmtId="0" fontId="32" fillId="1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24" fillId="18" borderId="1" applyAlignment="1" pivotButton="0" quotePrefix="0" xfId="0">
      <alignment horizontal="left" vertical="center" wrapText="1"/>
    </xf>
    <xf numFmtId="0" fontId="33" fillId="19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16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F3C"/>
    <outlinePr summaryBelow="1" summaryRight="1"/>
    <pageSetUpPr/>
  </sheetPr>
  <dimension ref="A1:V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 xml:space="preserve">  🏥  UTI PRO 2026 — PAINEL MÉDICO INTENSIVISTA</t>
        </is>
      </c>
    </row>
    <row r="2" ht="16" customHeight="1">
      <c r="A2" s="2" t="inlineStr">
        <is>
          <t xml:space="preserve">  ⚙️  Índice completo | clique na aba desejada  |  Dr. Aldenir Rocha · HRN &amp; Santa Casa Sobral-CE · v2026.1</t>
        </is>
      </c>
    </row>
    <row r="3" ht="22" customHeight="1">
      <c r="A3" s="3" t="inlineStr">
        <is>
          <t>#</t>
        </is>
      </c>
      <c r="B3" s="3" t="inlineStr">
        <is>
          <t>ABA / MÓDULO</t>
        </is>
      </c>
      <c r="C3" s="3" t="inlineStr">
        <is>
          <t>EMOJI</t>
        </is>
      </c>
      <c r="D3" s="3" t="inlineStr">
        <is>
          <t>CONTEÚDO PRINCIPAL</t>
        </is>
      </c>
      <c r="E3" s="4" t="n"/>
      <c r="F3" s="4" t="n"/>
      <c r="G3" s="4" t="n"/>
      <c r="H3" s="5" t="n"/>
    </row>
    <row r="4" ht="20" customHeight="1">
      <c r="A4" s="6" t="n">
        <v>1</v>
      </c>
      <c r="B4" s="7" t="inlineStr">
        <is>
          <t>💊  01_SEDAÇÃO_DVA</t>
        </is>
      </c>
      <c r="C4" s="8" t="inlineStr">
        <is>
          <t>💊</t>
        </is>
      </c>
      <c r="D4" s="9" t="inlineStr">
        <is>
          <t>Sedação · Analgesia · BNM · Vasopressores — calculadora por peso</t>
        </is>
      </c>
    </row>
    <row r="5" ht="20" customHeight="1">
      <c r="A5" s="6" t="n">
        <v>2</v>
      </c>
      <c r="B5" s="10" t="inlineStr">
        <is>
          <t>🩸  02_HEPARINA</t>
        </is>
      </c>
      <c r="C5" s="11" t="inlineStr">
        <is>
          <t>🩸</t>
        </is>
      </c>
      <c r="D5" s="12" t="inlineStr">
        <is>
          <t>HNF EV nomograma TTPa/Anti-Xa · SC · Enoxaparina · CRRT</t>
        </is>
      </c>
    </row>
    <row r="6" ht="20" customHeight="1">
      <c r="A6" s="6" t="n">
        <v>3</v>
      </c>
      <c r="B6" s="7" t="inlineStr">
        <is>
          <t>⚡  03_SÓDIO_ELET</t>
        </is>
      </c>
      <c r="C6" s="13" t="inlineStr">
        <is>
          <t>⚡</t>
        </is>
      </c>
      <c r="D6" s="9" t="inlineStr">
        <is>
          <t>Sódio · Potássio · Magnésio · Cálcio — calculadoras</t>
        </is>
      </c>
    </row>
    <row r="7" ht="20" customHeight="1">
      <c r="A7" s="6" t="n">
        <v>4</v>
      </c>
      <c r="B7" s="10" t="inlineStr">
        <is>
          <t>📡  04_ROX_VPP_VPS</t>
        </is>
      </c>
      <c r="C7" s="14" t="inlineStr">
        <is>
          <t>📡</t>
        </is>
      </c>
      <c r="D7" s="12" t="inlineStr">
        <is>
          <t>ROX · VPP · VPS · RSBI — preditores CNAF/desmame</t>
        </is>
      </c>
    </row>
    <row r="8" ht="20" customHeight="1">
      <c r="A8" s="6" t="n">
        <v>5</v>
      </c>
      <c r="B8" s="7" t="inlineStr">
        <is>
          <t>🫁  05_VM_ARDS</t>
        </is>
      </c>
      <c r="C8" s="15" t="inlineStr">
        <is>
          <t>🫁</t>
        </is>
      </c>
      <c r="D8" s="9" t="inlineStr">
        <is>
          <t>VM protetora · ARDS Berlin · Driving Pressure · PEEP/FiO2</t>
        </is>
      </c>
    </row>
    <row r="9" ht="20" customHeight="1">
      <c r="A9" s="6" t="n">
        <v>6</v>
      </c>
      <c r="B9" s="10" t="inlineStr">
        <is>
          <t>🚨  06_SEQ_RAPIDA</t>
        </is>
      </c>
      <c r="C9" s="16" t="inlineStr">
        <is>
          <t>🚨</t>
        </is>
      </c>
      <c r="D9" s="12" t="inlineStr">
        <is>
          <t>RSI — doses por peso · kit materiais · algoritmo por cenário</t>
        </is>
      </c>
    </row>
    <row r="10" ht="20" customHeight="1">
      <c r="A10" s="6" t="n">
        <v>7</v>
      </c>
      <c r="B10" s="7" t="inlineStr">
        <is>
          <t>❤️  07_ARRITMIAS</t>
        </is>
      </c>
      <c r="C10" s="17" t="inlineStr">
        <is>
          <t>❤️</t>
        </is>
      </c>
      <c r="D10" s="9" t="inlineStr">
        <is>
          <t>Amiodarona · QTc · FA/TV algoritmo · antiarrítmicos UTI</t>
        </is>
      </c>
    </row>
    <row r="11" ht="20" customHeight="1">
      <c r="A11" s="6" t="n">
        <v>8</v>
      </c>
      <c r="B11" s="10" t="inlineStr">
        <is>
          <t>📈  08_SAPS3</t>
        </is>
      </c>
      <c r="C11" s="18" t="inlineStr">
        <is>
          <t>📈</t>
        </is>
      </c>
      <c r="D11" s="12" t="inlineStr">
        <is>
          <t>SAPS 3 — calculadora interativa · prognóstico · mortalidade</t>
        </is>
      </c>
    </row>
    <row r="12" ht="20" customHeight="1">
      <c r="A12" s="6" t="n">
        <v>9</v>
      </c>
      <c r="B12" s="7" t="inlineStr">
        <is>
          <t>🦠  09_SEPSE_CHOQUE</t>
        </is>
      </c>
      <c r="C12" s="15" t="inlineStr">
        <is>
          <t>🦠</t>
        </is>
      </c>
      <c r="D12" s="9" t="inlineStr">
        <is>
          <t>Sepse/Choque SSC 2021/2026 · algoritmo indiferenciado · lactato</t>
        </is>
      </c>
    </row>
    <row r="13" ht="20" customHeight="1">
      <c r="A13" s="6" t="n">
        <v>10</v>
      </c>
      <c r="B13" s="10" t="inlineStr">
        <is>
          <t>🔌  10_DEVICES</t>
        </is>
      </c>
      <c r="C13" s="19" t="inlineStr">
        <is>
          <t>🔌</t>
        </is>
      </c>
      <c r="D13" s="12" t="inlineStr">
        <is>
          <t>Devices UTI — datas inserção · dias em uso · bundles · alertas</t>
        </is>
      </c>
    </row>
    <row r="14" ht="20" customHeight="1">
      <c r="A14" s="6" t="n">
        <v>11</v>
      </c>
      <c r="B14" s="7" t="inlineStr">
        <is>
          <t>🏥  11_PRIORIDADE</t>
        </is>
      </c>
      <c r="C14" s="17" t="inlineStr">
        <is>
          <t>🏥</t>
        </is>
      </c>
      <c r="D14" s="9" t="inlineStr">
        <is>
          <t>Prioridade admissão UTI — P1→P4 · score operacional SCCM</t>
        </is>
      </c>
    </row>
    <row r="15" ht="20" customHeight="1">
      <c r="A15" s="6" t="n">
        <v>12</v>
      </c>
      <c r="B15" s="10" t="inlineStr">
        <is>
          <t>💉  12_ATB_RENAL</t>
        </is>
      </c>
      <c r="C15" s="20" t="inlineStr">
        <is>
          <t>💉</t>
        </is>
      </c>
      <c r="D15" s="12" t="inlineStr">
        <is>
          <t>ATB — ajuste renal · HD · CRRT · dose ataque · consulta rápida</t>
        </is>
      </c>
    </row>
    <row r="16" ht="20" customHeight="1">
      <c r="A16" s="6" t="n">
        <v>13</v>
      </c>
      <c r="B16" s="7" t="inlineStr">
        <is>
          <t>💊  13_MEDS_RENAIS</t>
        </is>
      </c>
      <c r="C16" s="16" t="inlineStr">
        <is>
          <t>💊</t>
        </is>
      </c>
      <c r="D16" s="9" t="inlineStr">
        <is>
          <t>Levetiracetam · gabapentina · morfina · digoxina + IRA</t>
        </is>
      </c>
    </row>
    <row r="17" ht="20" customHeight="1">
      <c r="A17" s="6" t="n">
        <v>14</v>
      </c>
      <c r="B17" s="10" t="inlineStr">
        <is>
          <t>🩺  14_ANTICOAG</t>
        </is>
      </c>
      <c r="C17" s="21" t="inlineStr">
        <is>
          <t>🩺</t>
        </is>
      </c>
      <c r="D17" s="12" t="inlineStr">
        <is>
          <t>Anticoagulação — ajuste renal · reversão · HIT · contraindicações</t>
        </is>
      </c>
    </row>
    <row r="18" ht="20" customHeight="1">
      <c r="A18" s="6" t="n">
        <v>15</v>
      </c>
      <c r="B18" s="7" t="inlineStr">
        <is>
          <t>⛔  15_CONTRAIND</t>
        </is>
      </c>
      <c r="C18" s="17" t="inlineStr">
        <is>
          <t>⛔</t>
        </is>
      </c>
      <c r="D18" s="9" t="inlineStr">
        <is>
          <t>Contraindicações UTI — checklist segurança crítico</t>
        </is>
      </c>
    </row>
    <row r="19" ht="20" customHeight="1">
      <c r="A19" s="6" t="n">
        <v>16</v>
      </c>
      <c r="B19" s="10" t="inlineStr">
        <is>
          <t>🗺️  16_FLUXOGRAMAS</t>
        </is>
      </c>
      <c r="C19" s="18" t="inlineStr">
        <is>
          <t>🗺️</t>
        </is>
      </c>
      <c r="D19" s="12" t="inlineStr">
        <is>
          <t>Fluxogramas rápidos — DOPE · AKI · choque · ACLS · mnemônicos</t>
        </is>
      </c>
    </row>
    <row r="20" ht="20" customHeight="1">
      <c r="A20" s="6" t="n">
        <v>17</v>
      </c>
      <c r="B20" s="7" t="inlineStr">
        <is>
          <t>📚  17_FONTES</t>
        </is>
      </c>
      <c r="C20" s="22" t="inlineStr">
        <is>
          <t>📚</t>
        </is>
      </c>
      <c r="D20" s="9" t="inlineStr">
        <is>
          <t>Fontes · guidelines · links atualizados 2026</t>
        </is>
      </c>
    </row>
    <row r="22" ht="24" customHeight="1">
      <c r="A22" s="23" t="inlineStr">
        <is>
          <t>⚠️  Edite SOMENTE células AMARELAS  |  Campos VERDES = calculados automaticamente  |  Confirme doses com farmácia/protocolo local  |  Dados 2026 — conferir bula e guideline vigente</t>
        </is>
      </c>
    </row>
  </sheetData>
  <mergeCells count="22">
    <mergeCell ref="A2:V2"/>
    <mergeCell ref="D20:H20"/>
    <mergeCell ref="D10:H10"/>
    <mergeCell ref="D19:H19"/>
    <mergeCell ref="D6:H6"/>
    <mergeCell ref="D11:H11"/>
    <mergeCell ref="D13:H13"/>
    <mergeCell ref="B3"/>
    <mergeCell ref="D17:H17"/>
    <mergeCell ref="D7:H7"/>
    <mergeCell ref="D16:H16"/>
    <mergeCell ref="A1:V1"/>
    <mergeCell ref="D4:H4"/>
    <mergeCell ref="D18:H18"/>
    <mergeCell ref="D9:H9"/>
    <mergeCell ref="D3:H3"/>
    <mergeCell ref="A22:H22"/>
    <mergeCell ref="D12:H12"/>
    <mergeCell ref="D8:H8"/>
    <mergeCell ref="D15:H15"/>
    <mergeCell ref="D5:H5"/>
    <mergeCell ref="D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1F3C"/>
    <outlinePr summaryBelow="1" summaryRight="1"/>
    <pageSetUpPr/>
  </sheetPr>
  <dimension ref="A1:V3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10" customWidth="1" min="4" max="4"/>
    <col width="10" customWidth="1" min="5" max="5"/>
    <col width="11" customWidth="1" min="6" max="6"/>
    <col width="11" customWidth="1" min="7" max="7"/>
    <col width="14" customWidth="1" min="8" max="8"/>
    <col width="9" customWidth="1" min="9" max="9"/>
    <col width="11" customWidth="1" min="10" max="10"/>
    <col width="10" customWidth="1" min="11" max="11"/>
    <col width="10" customWidth="1" min="12" max="12"/>
    <col width="9" customWidth="1" min="13" max="13"/>
    <col width="58" customWidth="1" min="14" max="14"/>
  </cols>
  <sheetData>
    <row r="1" ht="28" customHeight="1">
      <c r="A1" s="1" t="inlineStr">
        <is>
          <t xml:space="preserve">  🏥  SEDAÇÃO · ANALGESIA · BNM · VASOPRESSORES</t>
        </is>
      </c>
    </row>
    <row r="2" ht="16" customHeight="1">
      <c r="A2" s="2" t="inlineStr">
        <is>
          <t xml:space="preserve">  ⚙️  Calculadora interativa por peso — edite APENAS campos amarelos  |  Dr. Aldenir Rocha · HRN &amp; Santa Casa Sobral-CE · v2026.1</t>
        </is>
      </c>
    </row>
    <row r="3">
      <c r="A3" s="24" t="inlineStr">
        <is>
          <t>⚖️ PESO (kg)</t>
        </is>
      </c>
      <c r="B3" s="25" t="n">
        <v>80</v>
      </c>
    </row>
    <row r="4" ht="32" customHeight="1">
      <c r="A4" s="26" t="inlineStr">
        <is>
          <t>MEDICAMENTO</t>
        </is>
      </c>
      <c r="B4" s="26" t="inlineStr">
        <is>
          <t>AMPOLAS</t>
        </is>
      </c>
      <c r="C4" s="26" t="inlineStr">
        <is>
          <t>DILUIÇÃO SF(mL)</t>
        </is>
      </c>
      <c r="D4" s="26" t="inlineStr">
        <is>
          <t>mL/h ATUAL</t>
        </is>
      </c>
      <c r="E4" s="26" t="inlineStr">
        <is>
          <t>DOSE ATUAL</t>
        </is>
      </c>
      <c r="F4" s="26" t="inlineStr">
        <is>
          <t>Vel MÍN mL/h</t>
        </is>
      </c>
      <c r="G4" s="26" t="inlineStr">
        <is>
          <t>Vel MÁX mL/h</t>
        </is>
      </c>
      <c r="H4" s="26" t="inlineStr">
        <is>
          <t>Apresentação mg/mcg/UI</t>
        </is>
      </c>
      <c r="I4" s="26" t="inlineStr">
        <is>
          <t>Vol amp (mL)</t>
        </is>
      </c>
      <c r="J4" s="26" t="inlineStr">
        <is>
          <t>Conc sol</t>
        </is>
      </c>
      <c r="K4" s="26" t="inlineStr">
        <is>
          <t>Dose MÍN</t>
        </is>
      </c>
      <c r="L4" s="26" t="inlineStr">
        <is>
          <t>Dose MÁX</t>
        </is>
      </c>
      <c r="M4" s="26" t="inlineStr">
        <is>
          <t>Unid</t>
        </is>
      </c>
      <c r="N4" s="26" t="inlineStr">
        <is>
          <t>OBSERVAÇÕES / ALERTAS</t>
        </is>
      </c>
    </row>
    <row r="5" ht="20" customHeight="1">
      <c r="A5" s="27" t="inlineStr">
        <is>
          <t>💊  SEDATIVOS / HIPNÓTICOS</t>
        </is>
      </c>
    </row>
    <row r="6" ht="26" customHeight="1">
      <c r="A6" s="28" t="inlineStr">
        <is>
          <t>💊 Midazolam</t>
        </is>
      </c>
      <c r="B6" s="25" t="n">
        <v>10</v>
      </c>
      <c r="C6" s="25" t="n">
        <v>0</v>
      </c>
      <c r="D6" s="25" t="n">
        <v>5</v>
      </c>
      <c r="E6" s="29" t="inlineStr">
        <is>
          <t>calc</t>
        </is>
      </c>
      <c r="F6" s="29" t="inlineStr">
        <is>
          <t>calc</t>
        </is>
      </c>
      <c r="G6" s="29" t="inlineStr">
        <is>
          <t>calc</t>
        </is>
      </c>
      <c r="H6" s="30" t="inlineStr">
        <is>
          <t>50mg</t>
        </is>
      </c>
      <c r="I6" s="30" t="inlineStr">
        <is>
          <t>10mL</t>
        </is>
      </c>
      <c r="J6" s="31" t="inlineStr">
        <is>
          <t>5mg/mL</t>
        </is>
      </c>
      <c r="K6" s="32" t="inlineStr">
        <is>
          <t>0,02</t>
        </is>
      </c>
      <c r="L6" s="32" t="inlineStr">
        <is>
          <t>0,1</t>
        </is>
      </c>
      <c r="M6" s="32" t="inlineStr">
        <is>
          <t>mg/kg/h</t>
        </is>
      </c>
      <c r="N6" s="33" t="b">
        <v>1</v>
      </c>
    </row>
    <row r="7" ht="26" customHeight="1">
      <c r="A7" s="28" t="inlineStr">
        <is>
          <t>💊 Propofol</t>
        </is>
      </c>
      <c r="B7" s="25" t="n">
        <v>5</v>
      </c>
      <c r="C7" s="25" t="n">
        <v>0</v>
      </c>
      <c r="D7" s="25" t="n">
        <v>5</v>
      </c>
      <c r="E7" s="29" t="inlineStr">
        <is>
          <t>calc</t>
        </is>
      </c>
      <c r="F7" s="29" t="inlineStr">
        <is>
          <t>calc</t>
        </is>
      </c>
      <c r="G7" s="29" t="inlineStr">
        <is>
          <t>calc</t>
        </is>
      </c>
      <c r="H7" s="30" t="inlineStr">
        <is>
          <t>200mg</t>
        </is>
      </c>
      <c r="I7" s="30" t="inlineStr">
        <is>
          <t>20mL</t>
        </is>
      </c>
      <c r="J7" s="31" t="inlineStr">
        <is>
          <t>10mg/mL</t>
        </is>
      </c>
      <c r="K7" s="32" t="inlineStr">
        <is>
          <t>0,3</t>
        </is>
      </c>
      <c r="L7" s="32" t="inlineStr">
        <is>
          <t>3,0</t>
        </is>
      </c>
      <c r="M7" s="32" t="inlineStr">
        <is>
          <t>mg/kg/h</t>
        </is>
      </c>
      <c r="N7" s="33" t="b">
        <v>0</v>
      </c>
    </row>
    <row r="8" ht="26" customHeight="1">
      <c r="A8" s="28" t="inlineStr">
        <is>
          <t>💊 Escetamina</t>
        </is>
      </c>
      <c r="B8" s="25" t="n">
        <v>5</v>
      </c>
      <c r="C8" s="25" t="n">
        <v>90</v>
      </c>
      <c r="D8" s="25" t="n">
        <v>10</v>
      </c>
      <c r="E8" s="29" t="inlineStr">
        <is>
          <t>calc</t>
        </is>
      </c>
      <c r="F8" s="29" t="inlineStr">
        <is>
          <t>calc</t>
        </is>
      </c>
      <c r="G8" s="29" t="inlineStr">
        <is>
          <t>calc</t>
        </is>
      </c>
      <c r="H8" s="30" t="inlineStr">
        <is>
          <t>100mg</t>
        </is>
      </c>
      <c r="I8" s="30" t="inlineStr">
        <is>
          <t>2mL</t>
        </is>
      </c>
      <c r="J8" s="31" t="inlineStr">
        <is>
          <t>5mg/mL</t>
        </is>
      </c>
      <c r="K8" s="32" t="inlineStr">
        <is>
          <t>0,1</t>
        </is>
      </c>
      <c r="L8" s="32" t="inlineStr">
        <is>
          <t>0,6</t>
        </is>
      </c>
      <c r="M8" s="32" t="inlineStr">
        <is>
          <t>mg/kg/h</t>
        </is>
      </c>
      <c r="N8" s="33" t="b">
        <v>1</v>
      </c>
    </row>
    <row r="9" ht="26" customHeight="1">
      <c r="A9" s="28" t="inlineStr">
        <is>
          <t>💊 Dexmedetomidina</t>
        </is>
      </c>
      <c r="B9" s="25" t="n">
        <v>2</v>
      </c>
      <c r="C9" s="25" t="n">
        <v>96</v>
      </c>
      <c r="D9" s="25" t="n">
        <v>10</v>
      </c>
      <c r="E9" s="29" t="inlineStr">
        <is>
          <t>calc</t>
        </is>
      </c>
      <c r="F9" s="29" t="inlineStr">
        <is>
          <t>calc</t>
        </is>
      </c>
      <c r="G9" s="29" t="inlineStr">
        <is>
          <t>calc</t>
        </is>
      </c>
      <c r="H9" s="30" t="inlineStr">
        <is>
          <t>200mcg</t>
        </is>
      </c>
      <c r="I9" s="30" t="inlineStr">
        <is>
          <t>2mL</t>
        </is>
      </c>
      <c r="J9" s="31" t="inlineStr">
        <is>
          <t>4mcg/mL</t>
        </is>
      </c>
      <c r="K9" s="32" t="inlineStr">
        <is>
          <t>0,2</t>
        </is>
      </c>
      <c r="L9" s="32" t="inlineStr">
        <is>
          <t>1,5</t>
        </is>
      </c>
      <c r="M9" s="32" t="inlineStr">
        <is>
          <t>mcg/kg/h</t>
        </is>
      </c>
      <c r="N9" s="33" t="b">
        <v>0</v>
      </c>
    </row>
    <row r="10" ht="26" customHeight="1">
      <c r="A10" s="28" t="inlineStr">
        <is>
          <t>💊 Tiopental</t>
        </is>
      </c>
      <c r="B10" s="25" t="n">
        <v>1</v>
      </c>
      <c r="C10" s="25" t="n">
        <v>250</v>
      </c>
      <c r="D10" s="25" t="n">
        <v>5</v>
      </c>
      <c r="E10" s="29" t="inlineStr">
        <is>
          <t>calc</t>
        </is>
      </c>
      <c r="F10" s="29" t="inlineStr">
        <is>
          <t>calc</t>
        </is>
      </c>
      <c r="G10" s="29" t="inlineStr">
        <is>
          <t>calc</t>
        </is>
      </c>
      <c r="H10" s="30" t="inlineStr">
        <is>
          <t>1000mg</t>
        </is>
      </c>
      <c r="I10" s="30" t="inlineStr">
        <is>
          <t>20mL</t>
        </is>
      </c>
      <c r="J10" s="31" t="inlineStr">
        <is>
          <t>4mg/mL</t>
        </is>
      </c>
      <c r="K10" s="32" t="inlineStr">
        <is>
          <t>1,5</t>
        </is>
      </c>
      <c r="L10" s="32" t="inlineStr">
        <is>
          <t>3,0</t>
        </is>
      </c>
      <c r="M10" s="32" t="inlineStr">
        <is>
          <t>mg/kg/h</t>
        </is>
      </c>
      <c r="N10" s="33" t="b">
        <v>1</v>
      </c>
    </row>
    <row r="11" ht="20" customHeight="1">
      <c r="A11" s="34" t="inlineStr">
        <is>
          <t>😴  ANALGÉSICOS OPIOIDES</t>
        </is>
      </c>
    </row>
    <row r="12" ht="26" customHeight="1">
      <c r="A12" s="28" t="inlineStr">
        <is>
          <t>😴 Fentanil</t>
        </is>
      </c>
      <c r="B12" s="25" t="n">
        <v>2</v>
      </c>
      <c r="C12" s="25" t="n">
        <v>80</v>
      </c>
      <c r="D12" s="25" t="n">
        <v>3</v>
      </c>
      <c r="E12" s="29" t="inlineStr">
        <is>
          <t>calc</t>
        </is>
      </c>
      <c r="F12" s="29" t="inlineStr">
        <is>
          <t>calc</t>
        </is>
      </c>
      <c r="G12" s="29" t="inlineStr">
        <is>
          <t>calc</t>
        </is>
      </c>
      <c r="H12" s="30" t="inlineStr">
        <is>
          <t>500mcg</t>
        </is>
      </c>
      <c r="I12" s="30" t="inlineStr">
        <is>
          <t>10mL</t>
        </is>
      </c>
      <c r="J12" s="31" t="inlineStr">
        <is>
          <t>10mcg/mL</t>
        </is>
      </c>
      <c r="K12" s="32" t="inlineStr">
        <is>
          <t>0,7</t>
        </is>
      </c>
      <c r="L12" s="32" t="inlineStr">
        <is>
          <t>10</t>
        </is>
      </c>
      <c r="M12" s="32" t="inlineStr">
        <is>
          <t>mcg/kg/h</t>
        </is>
      </c>
      <c r="N12" s="33" t="b">
        <v>1</v>
      </c>
    </row>
    <row r="13" ht="26" customHeight="1">
      <c r="A13" s="28" t="inlineStr">
        <is>
          <t>😴 Morfina</t>
        </is>
      </c>
      <c r="B13" s="25" t="n">
        <v>10</v>
      </c>
      <c r="C13" s="25" t="n">
        <v>240</v>
      </c>
      <c r="D13" s="25" t="n">
        <v>3</v>
      </c>
      <c r="E13" s="29" t="inlineStr">
        <is>
          <t>calc</t>
        </is>
      </c>
      <c r="F13" s="29" t="inlineStr">
        <is>
          <t>calc</t>
        </is>
      </c>
      <c r="G13" s="29" t="inlineStr">
        <is>
          <t>calc</t>
        </is>
      </c>
      <c r="H13" s="30" t="inlineStr">
        <is>
          <t>100mg</t>
        </is>
      </c>
      <c r="I13" s="30" t="inlineStr">
        <is>
          <t>10mL</t>
        </is>
      </c>
      <c r="J13" s="31" t="inlineStr">
        <is>
          <t>0,4mg/mL</t>
        </is>
      </c>
      <c r="K13" s="32" t="inlineStr">
        <is>
          <t>0,05</t>
        </is>
      </c>
      <c r="L13" s="32" t="inlineStr">
        <is>
          <t>0,15</t>
        </is>
      </c>
      <c r="M13" s="32" t="inlineStr">
        <is>
          <t>mg/kg/h</t>
        </is>
      </c>
      <c r="N13" s="33" t="b">
        <v>0</v>
      </c>
    </row>
    <row r="14" ht="26" customHeight="1">
      <c r="A14" s="28" t="inlineStr">
        <is>
          <t>😴 Clonidina</t>
        </is>
      </c>
      <c r="B14" s="25" t="n">
        <v>5</v>
      </c>
      <c r="C14" s="25" t="n">
        <v>95</v>
      </c>
      <c r="D14" s="25" t="n">
        <v>15</v>
      </c>
      <c r="E14" s="29" t="inlineStr">
        <is>
          <t>calc</t>
        </is>
      </c>
      <c r="F14" s="29" t="inlineStr">
        <is>
          <t>calc</t>
        </is>
      </c>
      <c r="G14" s="29" t="inlineStr">
        <is>
          <t>calc</t>
        </is>
      </c>
      <c r="H14" s="30" t="inlineStr">
        <is>
          <t>150mcg</t>
        </is>
      </c>
      <c r="I14" s="30" t="inlineStr">
        <is>
          <t>1mL</t>
        </is>
      </c>
      <c r="J14" s="31" t="inlineStr">
        <is>
          <t>7,5mcg/mL</t>
        </is>
      </c>
      <c r="K14" s="32" t="inlineStr">
        <is>
          <t>0,5</t>
        </is>
      </c>
      <c r="L14" s="32" t="inlineStr">
        <is>
          <t>2,0</t>
        </is>
      </c>
      <c r="M14" s="32" t="inlineStr">
        <is>
          <t>mcg/kg/h</t>
        </is>
      </c>
      <c r="N14" s="33" t="b">
        <v>1</v>
      </c>
    </row>
    <row r="15" ht="20" customHeight="1">
      <c r="A15" s="35" t="inlineStr">
        <is>
          <t>🔒  BLOQUEIO NEUROMUSCULAR (BNM)</t>
        </is>
      </c>
    </row>
    <row r="16" ht="26" customHeight="1">
      <c r="A16" s="28" t="inlineStr">
        <is>
          <t>🔒 Cisatracúrio</t>
        </is>
      </c>
      <c r="B16" s="25" t="n">
        <v>10</v>
      </c>
      <c r="C16" s="25" t="n">
        <v>200</v>
      </c>
      <c r="D16" s="25" t="n">
        <v>5</v>
      </c>
      <c r="E16" s="29" t="inlineStr">
        <is>
          <t>calc</t>
        </is>
      </c>
      <c r="F16" s="29" t="inlineStr">
        <is>
          <t>calc</t>
        </is>
      </c>
      <c r="G16" s="29" t="inlineStr">
        <is>
          <t>calc</t>
        </is>
      </c>
      <c r="H16" s="30" t="inlineStr">
        <is>
          <t>10mg</t>
        </is>
      </c>
      <c r="I16" s="30" t="inlineStr">
        <is>
          <t>5mL</t>
        </is>
      </c>
      <c r="J16" s="31" t="inlineStr">
        <is>
          <t>0,4mg/mL</t>
        </is>
      </c>
      <c r="K16" s="32" t="inlineStr">
        <is>
          <t>0,06</t>
        </is>
      </c>
      <c r="L16" s="32" t="inlineStr">
        <is>
          <t>0,18</t>
        </is>
      </c>
      <c r="M16" s="32" t="inlineStr">
        <is>
          <t>mg/kg/h</t>
        </is>
      </c>
      <c r="N16" s="33" t="b">
        <v>1</v>
      </c>
    </row>
    <row r="17" ht="26" customHeight="1">
      <c r="A17" s="28" t="inlineStr">
        <is>
          <t>🔒 Rocurônio</t>
        </is>
      </c>
      <c r="B17" s="25" t="n">
        <v>5</v>
      </c>
      <c r="C17" s="25" t="n">
        <v>75</v>
      </c>
      <c r="D17" s="25" t="n">
        <v>10</v>
      </c>
      <c r="E17" s="29" t="inlineStr">
        <is>
          <t>calc</t>
        </is>
      </c>
      <c r="F17" s="29" t="inlineStr">
        <is>
          <t>calc</t>
        </is>
      </c>
      <c r="G17" s="29" t="inlineStr">
        <is>
          <t>calc</t>
        </is>
      </c>
      <c r="H17" s="30" t="inlineStr">
        <is>
          <t>50mg</t>
        </is>
      </c>
      <c r="I17" s="30" t="inlineStr">
        <is>
          <t>5mL</t>
        </is>
      </c>
      <c r="J17" s="31" t="inlineStr">
        <is>
          <t>2,5mg/mL</t>
        </is>
      </c>
      <c r="K17" s="32" t="inlineStr">
        <is>
          <t>0,48</t>
        </is>
      </c>
      <c r="L17" s="32" t="inlineStr">
        <is>
          <t>0,72</t>
        </is>
      </c>
      <c r="M17" s="32" t="inlineStr">
        <is>
          <t>mg/kg/h</t>
        </is>
      </c>
      <c r="N17" s="33" t="b">
        <v>0</v>
      </c>
    </row>
    <row r="18" ht="26" customHeight="1">
      <c r="A18" s="28" t="inlineStr">
        <is>
          <t>🔒 Atracúrio</t>
        </is>
      </c>
      <c r="B18" s="25" t="n">
        <v>10</v>
      </c>
      <c r="C18" s="25" t="n">
        <v>225</v>
      </c>
      <c r="D18" s="25" t="n">
        <v>3</v>
      </c>
      <c r="E18" s="29" t="inlineStr">
        <is>
          <t>calc</t>
        </is>
      </c>
      <c r="F18" s="29" t="inlineStr">
        <is>
          <t>calc</t>
        </is>
      </c>
      <c r="G18" s="29" t="inlineStr">
        <is>
          <t>calc</t>
        </is>
      </c>
      <c r="H18" s="30" t="inlineStr">
        <is>
          <t>25mg</t>
        </is>
      </c>
      <c r="I18" s="30" t="inlineStr">
        <is>
          <t>2,5mL</t>
        </is>
      </c>
      <c r="J18" s="31" t="inlineStr">
        <is>
          <t>1mg/mL</t>
        </is>
      </c>
      <c r="K18" s="32" t="inlineStr">
        <is>
          <t>0,3</t>
        </is>
      </c>
      <c r="L18" s="32" t="inlineStr">
        <is>
          <t>0,6</t>
        </is>
      </c>
      <c r="M18" s="32" t="inlineStr">
        <is>
          <t>mg/kg/h</t>
        </is>
      </c>
      <c r="N18" s="33" t="b">
        <v>1</v>
      </c>
    </row>
    <row r="19" ht="20" customHeight="1">
      <c r="A19" s="36" t="inlineStr">
        <is>
          <t>💉  VASOPRESSORES / DVA</t>
        </is>
      </c>
    </row>
    <row r="20" ht="26" customHeight="1">
      <c r="A20" s="28" t="inlineStr">
        <is>
          <t>💉 Noradrenalina</t>
        </is>
      </c>
      <c r="B20" s="25" t="n">
        <v>4</v>
      </c>
      <c r="C20" s="25" t="n">
        <v>234</v>
      </c>
      <c r="D20" s="25" t="n">
        <v>12</v>
      </c>
      <c r="E20" s="29" t="inlineStr">
        <is>
          <t>calc</t>
        </is>
      </c>
      <c r="F20" s="29" t="inlineStr">
        <is>
          <t>calc</t>
        </is>
      </c>
      <c r="G20" s="29" t="inlineStr">
        <is>
          <t>calc</t>
        </is>
      </c>
      <c r="H20" s="30" t="inlineStr">
        <is>
          <t>4mg</t>
        </is>
      </c>
      <c r="I20" s="30" t="inlineStr">
        <is>
          <t>4mL</t>
        </is>
      </c>
      <c r="J20" s="31" t="inlineStr">
        <is>
          <t>64mcg/mL</t>
        </is>
      </c>
      <c r="K20" s="32" t="inlineStr">
        <is>
          <t>0,1</t>
        </is>
      </c>
      <c r="L20" s="32" t="inlineStr">
        <is>
          <t>2,0</t>
        </is>
      </c>
      <c r="M20" s="32" t="inlineStr">
        <is>
          <t>mcg/kg/min</t>
        </is>
      </c>
      <c r="N20" s="33" t="b">
        <v>1</v>
      </c>
    </row>
    <row r="21" ht="26" customHeight="1">
      <c r="A21" s="28" t="inlineStr">
        <is>
          <t>💉 Vasopressina</t>
        </is>
      </c>
      <c r="B21" s="25" t="n">
        <v>2</v>
      </c>
      <c r="C21" s="25" t="n">
        <v>98</v>
      </c>
      <c r="D21" s="25" t="n">
        <v>20</v>
      </c>
      <c r="E21" s="29" t="inlineStr">
        <is>
          <t>calc</t>
        </is>
      </c>
      <c r="F21" s="29" t="inlineStr">
        <is>
          <t>calc</t>
        </is>
      </c>
      <c r="G21" s="29" t="inlineStr">
        <is>
          <t>calc</t>
        </is>
      </c>
      <c r="H21" s="30" t="inlineStr">
        <is>
          <t>20UI</t>
        </is>
      </c>
      <c r="I21" s="30" t="inlineStr">
        <is>
          <t>1mL</t>
        </is>
      </c>
      <c r="J21" s="31" t="inlineStr">
        <is>
          <t>0,4UI/mL</t>
        </is>
      </c>
      <c r="K21" s="32" t="inlineStr">
        <is>
          <t>0,01</t>
        </is>
      </c>
      <c r="L21" s="32" t="inlineStr">
        <is>
          <t>0,04</t>
        </is>
      </c>
      <c r="M21" s="32" t="inlineStr">
        <is>
          <t>UI/min</t>
        </is>
      </c>
      <c r="N21" s="33" t="b">
        <v>0</v>
      </c>
    </row>
    <row r="22" ht="26" customHeight="1">
      <c r="A22" s="28" t="inlineStr">
        <is>
          <t>💉 Adrenalina</t>
        </is>
      </c>
      <c r="B22" s="25" t="n">
        <v>16</v>
      </c>
      <c r="C22" s="25" t="n">
        <v>240</v>
      </c>
      <c r="D22" s="25" t="n">
        <v>5</v>
      </c>
      <c r="E22" s="29" t="inlineStr">
        <is>
          <t>calc</t>
        </is>
      </c>
      <c r="F22" s="29" t="inlineStr">
        <is>
          <t>calc</t>
        </is>
      </c>
      <c r="G22" s="29" t="inlineStr">
        <is>
          <t>calc</t>
        </is>
      </c>
      <c r="H22" s="30" t="inlineStr">
        <is>
          <t>1mg</t>
        </is>
      </c>
      <c r="I22" s="30" t="inlineStr">
        <is>
          <t>1mL</t>
        </is>
      </c>
      <c r="J22" s="31" t="inlineStr">
        <is>
          <t>62,5mcg/mL</t>
        </is>
      </c>
      <c r="K22" s="32" t="inlineStr">
        <is>
          <t>0,1</t>
        </is>
      </c>
      <c r="L22" s="32" t="inlineStr">
        <is>
          <t>0,5</t>
        </is>
      </c>
      <c r="M22" s="32" t="inlineStr">
        <is>
          <t>mcg/kg/min</t>
        </is>
      </c>
      <c r="N22" s="33" t="b">
        <v>1</v>
      </c>
    </row>
    <row r="23" ht="26" customHeight="1">
      <c r="A23" s="28" t="inlineStr">
        <is>
          <t>💉 Dobutamina</t>
        </is>
      </c>
      <c r="B23" s="25" t="n">
        <v>4</v>
      </c>
      <c r="C23" s="25" t="n">
        <v>210</v>
      </c>
      <c r="D23" s="25" t="n">
        <v>4</v>
      </c>
      <c r="E23" s="29" t="inlineStr">
        <is>
          <t>calc</t>
        </is>
      </c>
      <c r="F23" s="29" t="inlineStr">
        <is>
          <t>calc</t>
        </is>
      </c>
      <c r="G23" s="29" t="inlineStr">
        <is>
          <t>calc</t>
        </is>
      </c>
      <c r="H23" s="30" t="inlineStr">
        <is>
          <t>250mg</t>
        </is>
      </c>
      <c r="I23" s="30" t="inlineStr">
        <is>
          <t>20mL</t>
        </is>
      </c>
      <c r="J23" s="31" t="inlineStr">
        <is>
          <t>3448mcg/mL</t>
        </is>
      </c>
      <c r="K23" s="32" t="inlineStr">
        <is>
          <t>2</t>
        </is>
      </c>
      <c r="L23" s="32" t="inlineStr">
        <is>
          <t>20</t>
        </is>
      </c>
      <c r="M23" s="32" t="inlineStr">
        <is>
          <t>mcg/kg/min</t>
        </is>
      </c>
      <c r="N23" s="33" t="b">
        <v>0</v>
      </c>
    </row>
    <row r="24" ht="26" customHeight="1">
      <c r="A24" s="28" t="inlineStr">
        <is>
          <t>💉 Dopamina</t>
        </is>
      </c>
      <c r="B24" s="25" t="n">
        <v>5</v>
      </c>
      <c r="C24" s="25" t="n">
        <v>210</v>
      </c>
      <c r="D24" s="25" t="n">
        <v>5</v>
      </c>
      <c r="E24" s="29" t="inlineStr">
        <is>
          <t>calc</t>
        </is>
      </c>
      <c r="F24" s="29" t="inlineStr">
        <is>
          <t>calc</t>
        </is>
      </c>
      <c r="G24" s="29" t="inlineStr">
        <is>
          <t>calc</t>
        </is>
      </c>
      <c r="H24" s="30" t="inlineStr">
        <is>
          <t>200mg</t>
        </is>
      </c>
      <c r="I24" s="30" t="inlineStr">
        <is>
          <t>20mL</t>
        </is>
      </c>
      <c r="J24" s="31" t="inlineStr">
        <is>
          <t>3448mcg/mL</t>
        </is>
      </c>
      <c r="K24" s="32" t="inlineStr">
        <is>
          <t>2</t>
        </is>
      </c>
      <c r="L24" s="32" t="inlineStr">
        <is>
          <t>20</t>
        </is>
      </c>
      <c r="M24" s="32" t="inlineStr">
        <is>
          <t>mcg/kg/min</t>
        </is>
      </c>
      <c r="N24" s="33" t="b">
        <v>1</v>
      </c>
    </row>
    <row r="25" ht="20" customHeight="1">
      <c r="A25" s="37" t="inlineStr">
        <is>
          <t>🔵  CARDIOVASCULARES / OUTROS</t>
        </is>
      </c>
    </row>
    <row r="26" ht="26" customHeight="1">
      <c r="A26" s="28" t="inlineStr">
        <is>
          <t>🔵 Lidocaína</t>
        </is>
      </c>
      <c r="B26" s="25" t="n">
        <v>2</v>
      </c>
      <c r="C26" s="25" t="n">
        <v>200</v>
      </c>
      <c r="D26" s="25" t="n">
        <v>5</v>
      </c>
      <c r="E26" s="29" t="inlineStr">
        <is>
          <t>calc</t>
        </is>
      </c>
      <c r="F26" s="29" t="inlineStr">
        <is>
          <t>calc</t>
        </is>
      </c>
      <c r="G26" s="29" t="inlineStr">
        <is>
          <t>calc</t>
        </is>
      </c>
      <c r="H26" s="30" t="inlineStr">
        <is>
          <t>400mg</t>
        </is>
      </c>
      <c r="I26" s="30" t="inlineStr">
        <is>
          <t>20mL</t>
        </is>
      </c>
      <c r="J26" s="31" t="inlineStr">
        <is>
          <t>3333mcg/mL</t>
        </is>
      </c>
      <c r="K26" s="32" t="inlineStr">
        <is>
          <t>14</t>
        </is>
      </c>
      <c r="L26" s="32" t="inlineStr">
        <is>
          <t>57</t>
        </is>
      </c>
      <c r="M26" s="32" t="inlineStr">
        <is>
          <t>mcg/kg/min</t>
        </is>
      </c>
      <c r="N26" s="33" t="b">
        <v>1</v>
      </c>
    </row>
    <row r="27" ht="26" customHeight="1">
      <c r="A27" s="28" t="inlineStr">
        <is>
          <t>🔵 Esmolol</t>
        </is>
      </c>
      <c r="B27" s="25" t="n">
        <v>1</v>
      </c>
      <c r="C27" s="25" t="n">
        <v>90</v>
      </c>
      <c r="D27" s="25" t="n">
        <v>5</v>
      </c>
      <c r="E27" s="29" t="inlineStr">
        <is>
          <t>calc</t>
        </is>
      </c>
      <c r="F27" s="29" t="inlineStr">
        <is>
          <t>calc</t>
        </is>
      </c>
      <c r="G27" s="29" t="inlineStr">
        <is>
          <t>calc</t>
        </is>
      </c>
      <c r="H27" s="30" t="inlineStr">
        <is>
          <t>2500mg</t>
        </is>
      </c>
      <c r="I27" s="30" t="inlineStr">
        <is>
          <t>10mL</t>
        </is>
      </c>
      <c r="J27" s="31" t="inlineStr">
        <is>
          <t>25000mcg/mL</t>
        </is>
      </c>
      <c r="K27" s="32" t="inlineStr">
        <is>
          <t>150</t>
        </is>
      </c>
      <c r="L27" s="32" t="inlineStr">
        <is>
          <t>300</t>
        </is>
      </c>
      <c r="M27" s="32" t="inlineStr">
        <is>
          <t>mcg/kg/min</t>
        </is>
      </c>
      <c r="N27" s="33" t="b">
        <v>0</v>
      </c>
    </row>
    <row r="28" ht="26" customHeight="1">
      <c r="A28" s="28" t="inlineStr">
        <is>
          <t>🔵 Nitroprussiato</t>
        </is>
      </c>
      <c r="B28" s="25" t="n">
        <v>1</v>
      </c>
      <c r="C28" s="25" t="n">
        <v>98</v>
      </c>
      <c r="D28" s="25" t="n">
        <v>5</v>
      </c>
      <c r="E28" s="29" t="inlineStr">
        <is>
          <t>calc</t>
        </is>
      </c>
      <c r="F28" s="29" t="inlineStr">
        <is>
          <t>calc</t>
        </is>
      </c>
      <c r="G28" s="29" t="inlineStr">
        <is>
          <t>calc</t>
        </is>
      </c>
      <c r="H28" s="30" t="inlineStr">
        <is>
          <t>50mg</t>
        </is>
      </c>
      <c r="I28" s="30" t="inlineStr">
        <is>
          <t>2mL</t>
        </is>
      </c>
      <c r="J28" s="31" t="inlineStr">
        <is>
          <t>500mcg/mL</t>
        </is>
      </c>
      <c r="K28" s="32" t="inlineStr">
        <is>
          <t>0,25</t>
        </is>
      </c>
      <c r="L28" s="32" t="inlineStr">
        <is>
          <t>2,0</t>
        </is>
      </c>
      <c r="M28" s="32" t="inlineStr">
        <is>
          <t>mcg/kg/min</t>
        </is>
      </c>
      <c r="N28" s="33" t="b">
        <v>1</v>
      </c>
    </row>
    <row r="29" ht="26" customHeight="1">
      <c r="A29" s="28" t="inlineStr">
        <is>
          <t>🔵 Amiodarona</t>
        </is>
      </c>
      <c r="B29" s="25" t="n">
        <v>6</v>
      </c>
      <c r="C29" s="25" t="n">
        <v>222</v>
      </c>
      <c r="D29" s="25" t="n">
        <v>16</v>
      </c>
      <c r="E29" s="29" t="inlineStr">
        <is>
          <t>calc</t>
        </is>
      </c>
      <c r="F29" s="29" t="inlineStr">
        <is>
          <t>calc</t>
        </is>
      </c>
      <c r="G29" s="29" t="inlineStr">
        <is>
          <t>calc</t>
        </is>
      </c>
      <c r="H29" s="30" t="inlineStr">
        <is>
          <t>150mg</t>
        </is>
      </c>
      <c r="I29" s="30" t="inlineStr">
        <is>
          <t>3mL</t>
        </is>
      </c>
      <c r="J29" s="31" t="inlineStr">
        <is>
          <t>3,75mg/mL</t>
        </is>
      </c>
      <c r="K29" s="32" t="inlineStr">
        <is>
          <t>—</t>
        </is>
      </c>
      <c r="L29" s="32" t="inlineStr">
        <is>
          <t>—</t>
        </is>
      </c>
      <c r="M29" s="32" t="inlineStr">
        <is>
          <t>mg/h</t>
        </is>
      </c>
      <c r="N29" s="33" t="b">
        <v>0</v>
      </c>
    </row>
    <row r="31" ht="20" customHeight="1">
      <c r="A31" s="23" t="inlineStr">
        <is>
          <t>📌  Concentração = (Amp × mgAmp) ÷ (Dil + Amp×VolAmp) | Dose = (mL/h × Conc) ÷ (Peso × 60) | PADIS 2018 / UpToDate 2025-26 / SSC 2021</t>
        </is>
      </c>
    </row>
  </sheetData>
  <mergeCells count="8">
    <mergeCell ref="A2:V2"/>
    <mergeCell ref="A31:N31"/>
    <mergeCell ref="A1:V1"/>
    <mergeCell ref="A15:N15"/>
    <mergeCell ref="A25:N25"/>
    <mergeCell ref="A19:N19"/>
    <mergeCell ref="A11:N11"/>
    <mergeCell ref="A5:N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A6B"/>
    <outlinePr summaryBelow="1" summaryRight="1"/>
    <pageSetUpPr/>
  </sheetPr>
  <dimension ref="A1:V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6" customWidth="1" min="4" max="4"/>
    <col width="22" customWidth="1" min="5" max="5"/>
    <col width="22" customWidth="1" min="6" max="6"/>
    <col width="16" customWidth="1" min="7" max="7"/>
    <col width="14" customWidth="1" min="8" max="8"/>
  </cols>
  <sheetData>
    <row r="1" ht="28" customHeight="1">
      <c r="A1" s="1" t="inlineStr">
        <is>
          <t xml:space="preserve">  🏥  HEPARINA NÃO FRACIONADA — NOMOGRAMA TTPa/Anti-Xa</t>
        </is>
      </c>
    </row>
    <row r="2" ht="16" customHeight="1">
      <c r="A2" s="2" t="inlineStr">
        <is>
          <t xml:space="preserve">  ⚙️  Calculadora EV + SC + Enoxaparina + CRRT | edite campos amarelos  |  Dr. Aldenir Rocha · HRN &amp; Santa Casa Sobral-CE · v2026.1</t>
        </is>
      </c>
    </row>
    <row r="3">
      <c r="A3" s="3" t="inlineStr">
        <is>
          <t>Peso (kg)</t>
        </is>
      </c>
      <c r="B3" s="25" t="n">
        <v>80</v>
      </c>
      <c r="C3" s="26" t="inlineStr">
        <is>
          <t>Bolus EV 80 UI/kg</t>
        </is>
      </c>
      <c r="D3" s="38">
        <f>ROUND(B3*80/B4,2)</f>
        <v/>
      </c>
      <c r="E3" s="26" t="inlineStr">
        <is>
          <t>mL HNF pura</t>
        </is>
      </c>
      <c r="F3" s="39" t="inlineStr">
        <is>
          <t>Bolus CRRT 60 UI/kg</t>
        </is>
      </c>
      <c r="G3" s="40">
        <f>ROUND(B3*60/B4,2)</f>
        <v/>
      </c>
      <c r="H3" s="39" t="inlineStr">
        <is>
          <t>mL HNF pura</t>
        </is>
      </c>
    </row>
    <row r="4">
      <c r="A4" s="3" t="inlineStr">
        <is>
          <t>HNF pura (UI/mL)</t>
        </is>
      </c>
      <c r="B4" s="25" t="n">
        <v>5000</v>
      </c>
      <c r="C4" s="26" t="inlineStr">
        <is>
          <t>Infusão 18 UI/kg/h</t>
        </is>
      </c>
      <c r="D4" s="38">
        <f>ROUND(B3*18/B5,1)</f>
        <v/>
      </c>
      <c r="E4" s="26" t="inlineStr">
        <is>
          <t>mL/h solução</t>
        </is>
      </c>
      <c r="F4" s="39" t="inlineStr">
        <is>
          <t>Infusão CRRT 12 UI/kg/h</t>
        </is>
      </c>
      <c r="G4" s="40">
        <f>ROUND(B3*12/B5,1)</f>
        <v/>
      </c>
      <c r="H4" s="39" t="inlineStr">
        <is>
          <t>mL/h solução</t>
        </is>
      </c>
    </row>
    <row r="5">
      <c r="A5" s="3" t="inlineStr">
        <is>
          <t>Sol.diluída (UI/mL)</t>
        </is>
      </c>
      <c r="B5" s="25" t="n">
        <v>100</v>
      </c>
    </row>
    <row r="7">
      <c r="A7" s="41" t="inlineStr">
        <is>
          <t>🧮  CALCULADORA AJUSTE TTPa ATUAL — RESPOSTA AUTOMÁTICA</t>
        </is>
      </c>
      <c r="B7" s="4" t="n"/>
      <c r="C7" s="4" t="n"/>
      <c r="D7" s="4" t="n"/>
      <c r="E7" s="4" t="n"/>
      <c r="F7" s="5" t="n"/>
    </row>
    <row r="8">
      <c r="A8" s="3" t="inlineStr">
        <is>
          <t>TTPa atual (s)</t>
        </is>
      </c>
      <c r="B8" s="25" t="n">
        <v>70</v>
      </c>
    </row>
    <row r="9">
      <c r="A9" s="3" t="inlineStr">
        <is>
          <t>Infusão atual (mL/h)</t>
        </is>
      </c>
      <c r="B9" s="25" t="n">
        <v>16</v>
      </c>
    </row>
    <row r="10" ht="32" customHeight="1">
      <c r="A10" s="42">
        <f>IF(B8&lt;40,"🔴 BOLUS 25UI/kg + ↑3UI/kg/h | repetir TTPa 6h",IF(B8&lt;=49,"⚠️ ↑2UI/kg/h | repetir TTPa 6h",IF(B8&lt;=69,"↑1UI/kg/h | TTPa 6h",IF(B8&lt;=110,"✅ MANTER TERAPÊUTICO | TTPa 6h x2 depois 24h",IF(B8&lt;=120,"↓1UI/kg/h | TTPa 6h",IF(B8&lt;=130,"⛔ PARAR 1h → ↓2UI/kg/h | TTPa 6h pós",IF(B8&lt;=140,"⛔ PARAR 1h → ↓3UI/kg/h | TTPa 6h pós",IF(B8&lt;=150,"⛔ PARAR 2h → ↓4UI/kg/h | TTPa 6h pós","🆘 PARAR 2h → ↓5UI/kg/h — AVISAR MÉDICO"))))))))</f>
        <v/>
      </c>
    </row>
    <row r="12">
      <c r="A12" s="43" t="inlineStr">
        <is>
          <t>📊  NOMOGRAMA HNF COMPLETO — TTPa + Anti-Xa (Burnett/UpToDate)</t>
        </is>
      </c>
      <c r="B12" s="4" t="n"/>
      <c r="C12" s="4" t="n"/>
      <c r="D12" s="4" t="n"/>
      <c r="E12" s="4" t="n"/>
      <c r="F12" s="4" t="n"/>
      <c r="G12" s="5" t="n"/>
    </row>
    <row r="13">
      <c r="A13" s="3" t="inlineStr">
        <is>
          <t>TTPa (s)</t>
        </is>
      </c>
      <c r="B13" s="3" t="inlineStr">
        <is>
          <t>Anti-Xa (UI/mL)</t>
        </is>
      </c>
      <c r="C13" s="3" t="inlineStr">
        <is>
          <t>Bolus adicional</t>
        </is>
      </c>
      <c r="D13" s="3" t="inlineStr">
        <is>
          <t>Ajuste infusão</t>
        </is>
      </c>
      <c r="E13" s="3" t="inlineStr">
        <is>
          <t>Parar por</t>
        </is>
      </c>
      <c r="F13" s="3" t="inlineStr">
        <is>
          <t>Próx TTPa</t>
        </is>
      </c>
      <c r="G13" s="3" t="inlineStr">
        <is>
          <t>Conduta</t>
        </is>
      </c>
    </row>
    <row r="14" ht="18" customHeight="1">
      <c r="A14" s="30" t="inlineStr">
        <is>
          <t>&lt;40</t>
        </is>
      </c>
      <c r="B14" s="30" t="inlineStr">
        <is>
          <t>0,00–0,09</t>
        </is>
      </c>
      <c r="C14" s="30" t="inlineStr">
        <is>
          <t>25 UI/kg</t>
        </is>
      </c>
      <c r="D14" s="30" t="inlineStr">
        <is>
          <t>↑ 3 UI/kg/h</t>
        </is>
      </c>
      <c r="E14" s="30" t="inlineStr">
        <is>
          <t>—</t>
        </is>
      </c>
      <c r="F14" s="30" t="inlineStr">
        <is>
          <t>6h</t>
        </is>
      </c>
      <c r="G14" s="30" t="inlineStr">
        <is>
          <t>↑ urgente</t>
        </is>
      </c>
    </row>
    <row r="15" ht="18" customHeight="1">
      <c r="A15" s="44" t="inlineStr">
        <is>
          <t>40–49</t>
        </is>
      </c>
      <c r="B15" s="44" t="inlineStr">
        <is>
          <t>0,10–0,19</t>
        </is>
      </c>
      <c r="C15" s="44" t="inlineStr">
        <is>
          <t>—</t>
        </is>
      </c>
      <c r="D15" s="44" t="inlineStr">
        <is>
          <t>↑ 2 UI/kg/h</t>
        </is>
      </c>
      <c r="E15" s="44" t="inlineStr">
        <is>
          <t>—</t>
        </is>
      </c>
      <c r="F15" s="44" t="inlineStr">
        <is>
          <t>6h</t>
        </is>
      </c>
      <c r="G15" s="44" t="inlineStr">
        <is>
          <t>↑ velocidade</t>
        </is>
      </c>
    </row>
    <row r="16" ht="18" customHeight="1">
      <c r="A16" s="30" t="inlineStr">
        <is>
          <t>50–69</t>
        </is>
      </c>
      <c r="B16" s="30" t="inlineStr">
        <is>
          <t>0,20–0,29</t>
        </is>
      </c>
      <c r="C16" s="30" t="inlineStr">
        <is>
          <t>—</t>
        </is>
      </c>
      <c r="D16" s="30" t="inlineStr">
        <is>
          <t>↑ 1 UI/kg/h</t>
        </is>
      </c>
      <c r="E16" s="30" t="inlineStr">
        <is>
          <t>—</t>
        </is>
      </c>
      <c r="F16" s="30" t="inlineStr">
        <is>
          <t>6h</t>
        </is>
      </c>
      <c r="G16" s="30" t="inlineStr">
        <is>
          <t>↑ leve</t>
        </is>
      </c>
    </row>
    <row r="17" ht="18" customHeight="1">
      <c r="A17" s="44" t="inlineStr">
        <is>
          <t>70–110 ✅</t>
        </is>
      </c>
      <c r="B17" s="44" t="inlineStr">
        <is>
          <t>0,30–0,70</t>
        </is>
      </c>
      <c r="C17" s="44" t="inlineStr">
        <is>
          <t>—</t>
        </is>
      </c>
      <c r="D17" s="45" t="inlineStr">
        <is>
          <t>MANTER</t>
        </is>
      </c>
      <c r="E17" s="44" t="inlineStr">
        <is>
          <t>—</t>
        </is>
      </c>
      <c r="F17" s="44" t="inlineStr">
        <is>
          <t>6h→24h</t>
        </is>
      </c>
      <c r="G17" s="44" t="inlineStr">
        <is>
          <t>✅ Terapêutico</t>
        </is>
      </c>
    </row>
    <row r="18" ht="18" customHeight="1">
      <c r="A18" s="30" t="inlineStr">
        <is>
          <t>111–120</t>
        </is>
      </c>
      <c r="B18" s="30" t="inlineStr">
        <is>
          <t>0,71–0,79</t>
        </is>
      </c>
      <c r="C18" s="30" t="inlineStr">
        <is>
          <t>—</t>
        </is>
      </c>
      <c r="D18" s="30" t="inlineStr">
        <is>
          <t>↓ 1 UI/kg/h</t>
        </is>
      </c>
      <c r="E18" s="30" t="inlineStr">
        <is>
          <t>—</t>
        </is>
      </c>
      <c r="F18" s="30" t="inlineStr">
        <is>
          <t>6h</t>
        </is>
      </c>
      <c r="G18" s="46" t="inlineStr">
        <is>
          <t>↓ leve</t>
        </is>
      </c>
    </row>
    <row r="19" ht="18" customHeight="1">
      <c r="A19" s="44" t="inlineStr">
        <is>
          <t>121–130</t>
        </is>
      </c>
      <c r="B19" s="44" t="inlineStr">
        <is>
          <t>0,80–0,89</t>
        </is>
      </c>
      <c r="C19" s="44" t="inlineStr">
        <is>
          <t>—</t>
        </is>
      </c>
      <c r="D19" s="44" t="inlineStr">
        <is>
          <t>↓ 2 UI/kg/h</t>
        </is>
      </c>
      <c r="E19" s="44" t="inlineStr">
        <is>
          <t>1h</t>
        </is>
      </c>
      <c r="F19" s="44" t="inlineStr">
        <is>
          <t>6h pós</t>
        </is>
      </c>
      <c r="G19" s="46" t="inlineStr">
        <is>
          <t>Parar 1h</t>
        </is>
      </c>
    </row>
    <row r="20" ht="18" customHeight="1">
      <c r="A20" s="30" t="inlineStr">
        <is>
          <t>131–140</t>
        </is>
      </c>
      <c r="B20" s="30" t="inlineStr">
        <is>
          <t>0,90–0,99</t>
        </is>
      </c>
      <c r="C20" s="30" t="inlineStr">
        <is>
          <t>—</t>
        </is>
      </c>
      <c r="D20" s="30" t="inlineStr">
        <is>
          <t>↓ 3 UI/kg/h</t>
        </is>
      </c>
      <c r="E20" s="30" t="inlineStr">
        <is>
          <t>1h</t>
        </is>
      </c>
      <c r="F20" s="30" t="inlineStr">
        <is>
          <t>6h pós</t>
        </is>
      </c>
      <c r="G20" s="46" t="inlineStr">
        <is>
          <t>Parar 1h</t>
        </is>
      </c>
    </row>
    <row r="21" ht="18" customHeight="1">
      <c r="A21" s="44" t="inlineStr">
        <is>
          <t>141–150</t>
        </is>
      </c>
      <c r="B21" s="44" t="inlineStr">
        <is>
          <t>1,00–1,09</t>
        </is>
      </c>
      <c r="C21" s="44" t="inlineStr">
        <is>
          <t>—</t>
        </is>
      </c>
      <c r="D21" s="44" t="inlineStr">
        <is>
          <t>↓ 4 UI/kg/h</t>
        </is>
      </c>
      <c r="E21" s="44" t="inlineStr">
        <is>
          <t>2h</t>
        </is>
      </c>
      <c r="F21" s="44" t="inlineStr">
        <is>
          <t>6h pós</t>
        </is>
      </c>
      <c r="G21" s="46" t="inlineStr">
        <is>
          <t>Parar 2h</t>
        </is>
      </c>
    </row>
    <row r="22" ht="18" customHeight="1">
      <c r="A22" s="30" t="inlineStr">
        <is>
          <t>&gt;150</t>
        </is>
      </c>
      <c r="B22" s="30" t="inlineStr">
        <is>
          <t>≥1,10</t>
        </is>
      </c>
      <c r="C22" s="30" t="inlineStr">
        <is>
          <t>—</t>
        </is>
      </c>
      <c r="D22" s="30" t="inlineStr">
        <is>
          <t>↓ 5 UI/kg/h + avisar</t>
        </is>
      </c>
      <c r="E22" s="30" t="inlineStr">
        <is>
          <t>2h</t>
        </is>
      </c>
      <c r="F22" s="30" t="inlineStr">
        <is>
          <t>6h pós</t>
        </is>
      </c>
      <c r="G22" s="46" t="inlineStr">
        <is>
          <t>🔴 Parar 2h</t>
        </is>
      </c>
    </row>
    <row r="25">
      <c r="A25" s="47" t="inlineStr">
        <is>
          <t>💉  ENOXAPARINA — DOSE TERAPÊUTICA E PROFILÁTICA</t>
        </is>
      </c>
      <c r="B25" s="4" t="n"/>
      <c r="C25" s="4" t="n"/>
      <c r="D25" s="4" t="n"/>
      <c r="E25" s="4" t="n"/>
      <c r="F25" s="5" t="n"/>
    </row>
    <row r="26">
      <c r="A26" s="3" t="inlineStr">
        <is>
          <t>Indicação</t>
        </is>
      </c>
      <c r="B26" s="3" t="inlineStr">
        <is>
          <t>CrCl &gt;50</t>
        </is>
      </c>
      <c r="C26" s="3" t="inlineStr">
        <is>
          <t>CrCl 30–49</t>
        </is>
      </c>
      <c r="D26" s="3" t="inlineStr">
        <is>
          <t>CrCl &lt;30</t>
        </is>
      </c>
      <c r="E26" s="3" t="inlineStr">
        <is>
          <t>HD/CRRT</t>
        </is>
      </c>
      <c r="F26" s="3" t="inlineStr">
        <is>
          <t>Observação</t>
        </is>
      </c>
    </row>
    <row r="27" ht="22" customHeight="1">
      <c r="A27" s="26" t="inlineStr">
        <is>
          <t>Profilaxia padrão</t>
        </is>
      </c>
      <c r="B27" s="30" t="inlineStr">
        <is>
          <t>40mg SC q24h</t>
        </is>
      </c>
      <c r="C27" s="30" t="inlineStr">
        <is>
          <t>40mg SC q24h</t>
        </is>
      </c>
      <c r="D27" s="30" t="inlineStr">
        <is>
          <t>30mg SC q24h</t>
        </is>
      </c>
      <c r="E27" s="30" t="inlineStr">
        <is>
          <t>HNF preferível</t>
        </is>
      </c>
      <c r="F27" s="30" t="inlineStr">
        <is>
          <t>Anti-Xa se 15–30</t>
        </is>
      </c>
    </row>
    <row r="28" ht="22" customHeight="1">
      <c r="A28" s="26" t="inlineStr">
        <is>
          <t>Terapêutica TEP/TVP</t>
        </is>
      </c>
      <c r="B28" s="44" t="inlineStr">
        <is>
          <t>1mg/kg SC q12h</t>
        </is>
      </c>
      <c r="C28" s="44" t="inlineStr">
        <is>
          <t>1mg/kg q12h cautela</t>
        </is>
      </c>
      <c r="D28" s="44" t="inlineStr">
        <is>
          <t>1mg/kg SC q24h</t>
        </is>
      </c>
      <c r="E28" s="44" t="inlineStr">
        <is>
          <t>HNF — evitar enox</t>
        </is>
      </c>
      <c r="F28" s="44" t="inlineStr">
        <is>
          <t>Anti-Xa obrigatório</t>
        </is>
      </c>
    </row>
    <row r="29" ht="22" customHeight="1">
      <c r="A29" s="26" t="inlineStr">
        <is>
          <t>Idoso &gt;75a terapêutica</t>
        </is>
      </c>
      <c r="B29" s="30" t="inlineStr">
        <is>
          <t>0,75mg/kg SC q12h</t>
        </is>
      </c>
      <c r="C29" s="30" t="inlineStr">
        <is>
          <t>Cautela+anti-Xa</t>
        </is>
      </c>
      <c r="D29" s="30" t="inlineStr">
        <is>
          <t>Anti-Xa obrigatório</t>
        </is>
      </c>
      <c r="E29" s="30" t="inlineStr">
        <is>
          <t>HNF preferível</t>
        </is>
      </c>
      <c r="F29" s="30" t="inlineStr">
        <is>
          <t>Monitorar rigidez</t>
        </is>
      </c>
    </row>
    <row r="30" ht="22" customHeight="1">
      <c r="A30" s="26" t="inlineStr">
        <is>
          <t>TEP dose fixa SC</t>
        </is>
      </c>
      <c r="B30" s="44" t="inlineStr">
        <is>
          <t>Bolus 333UI/kg</t>
        </is>
      </c>
      <c r="C30" s="44" t="inlineStr">
        <is>
          <t>+ 250UI/kg q12h</t>
        </is>
      </c>
      <c r="D30" s="44" t="inlineStr">
        <is>
          <t>HNF IV</t>
        </is>
      </c>
      <c r="E30" s="44" t="inlineStr">
        <is>
          <t>HNF IV</t>
        </is>
      </c>
      <c r="F30" s="44" t="inlineStr">
        <is>
          <t>JAMA 2006</t>
        </is>
      </c>
    </row>
  </sheetData>
  <mergeCells count="6">
    <mergeCell ref="A2:V2"/>
    <mergeCell ref="A10:F10"/>
    <mergeCell ref="A1:V1"/>
    <mergeCell ref="A12:G12"/>
    <mergeCell ref="A7:F7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EA5E9"/>
    <outlinePr summaryBelow="1" summaryRight="1"/>
    <pageSetUpPr/>
  </sheetPr>
  <dimension ref="A1:V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8" customWidth="1" min="4" max="4"/>
    <col width="38" customWidth="1" min="5" max="5"/>
    <col width="32" customWidth="1" min="6" max="6"/>
  </cols>
  <sheetData>
    <row r="1" ht="28" customHeight="1">
      <c r="A1" s="1" t="inlineStr">
        <is>
          <t xml:space="preserve">  🏥  DISTÚRBIOS DE SÓDIO / ELETRÓLITOS</t>
        </is>
      </c>
    </row>
    <row r="2" ht="16" customHeight="1">
      <c r="A2" s="2" t="inlineStr">
        <is>
          <t xml:space="preserve">  ⚙️  Calculadora Adrogue-Madias | K · Mg · Ca | edite campos amarelos  |  Dr. Aldenir Rocha · HRN &amp; Santa Casa Sobral-CE · v2026.1</t>
        </is>
      </c>
    </row>
    <row r="3">
      <c r="A3" s="48" t="inlineStr">
        <is>
          <t>⚡  CALCULADORA CORREÇÃO DE SÓDIO — ADROGUE-MADIAS</t>
        </is>
      </c>
      <c r="B3" s="4" t="n"/>
      <c r="C3" s="4" t="n"/>
      <c r="D3" s="4" t="n"/>
      <c r="E3" s="5" t="n"/>
    </row>
    <row r="4">
      <c r="A4" s="3" t="inlineStr">
        <is>
          <t>Peso (kg)</t>
        </is>
      </c>
      <c r="B4" s="3" t="inlineStr">
        <is>
          <t>Sexo</t>
        </is>
      </c>
      <c r="C4" s="3" t="inlineStr">
        <is>
          <t>Na plasmático</t>
        </is>
      </c>
      <c r="D4" s="3" t="inlineStr">
        <is>
          <t>Na solução (mEq/L)</t>
        </is>
      </c>
      <c r="E4" s="3" t="inlineStr">
        <is>
          <t>Δ Na desejado (mEq)</t>
        </is>
      </c>
    </row>
    <row r="5">
      <c r="A5" s="25" t="n">
        <v>70</v>
      </c>
      <c r="B5" s="25" t="inlineStr">
        <is>
          <t>Homem</t>
        </is>
      </c>
      <c r="C5" s="25" t="n">
        <v>124</v>
      </c>
      <c r="D5" s="25" t="n">
        <v>513</v>
      </c>
      <c r="E5" s="25" t="n">
        <v>6</v>
      </c>
    </row>
    <row r="6">
      <c r="A6" s="49" t="inlineStr">
        <is>
          <t>📊  RESULTADOS</t>
        </is>
      </c>
      <c r="B6" s="4" t="n"/>
      <c r="C6" s="5" t="n"/>
    </row>
    <row r="7">
      <c r="A7" s="3" t="inlineStr">
        <is>
          <t>Volume Homem (mL)</t>
        </is>
      </c>
      <c r="B7" s="50">
        <f>IF(D5=C5,0,ROUND(E5*(0.6*A5)/(D5-C5),0))</f>
        <v/>
      </c>
      <c r="C7" s="51" t="inlineStr">
        <is>
          <t>mL da solução</t>
        </is>
      </c>
    </row>
    <row r="8">
      <c r="A8" s="3" t="inlineStr">
        <is>
          <t>Volume Mulher (mL)</t>
        </is>
      </c>
      <c r="B8" s="52">
        <f>IF(D5=C5,0,ROUND(E5*(0.5*A5)/(D5-C5),0))</f>
        <v/>
      </c>
      <c r="C8" s="53" t="inlineStr">
        <is>
          <t>mL da solução</t>
        </is>
      </c>
    </row>
    <row r="9" ht="28" customHeight="1">
      <c r="A9" s="54">
        <f>IF(ABS(E5)&gt;8,"🆘 Δ Na &gt; 8 mEq/24h — RISCO SDO (Síndrome Desmielinização Osmótica)!",IF(ABS(E5)&gt;6,"⚠️ Δ Na 6–8 — no limite — monitorar de perto","✅ Δ Na ≤ 6 mEq — seguro"))</f>
        <v/>
      </c>
    </row>
    <row r="11">
      <c r="A11" s="43" t="inlineStr">
        <is>
          <t>💧  SOLUÇÕES DE REFERÊNCIA</t>
        </is>
      </c>
      <c r="B11" s="4" t="n"/>
      <c r="C11" s="5" t="n"/>
    </row>
    <row r="12">
      <c r="A12" s="3" t="inlineStr">
        <is>
          <t>Solução</t>
        </is>
      </c>
      <c r="B12" s="3" t="inlineStr">
        <is>
          <t>Na (mEq/L)</t>
        </is>
      </c>
      <c r="C12" s="3" t="inlineStr">
        <is>
          <t>Preparo / observação</t>
        </is>
      </c>
    </row>
    <row r="13" ht="20" customHeight="1">
      <c r="A13" s="26" t="inlineStr">
        <is>
          <t>NaCl 3%</t>
        </is>
      </c>
      <c r="B13" s="30" t="inlineStr">
        <is>
          <t>513</t>
        </is>
      </c>
      <c r="C13" s="30" t="inlineStr">
        <is>
          <t>150mL NaCl20%+850mL AD | ou 110mL NaCl20%+890mL NaCl0,9%</t>
        </is>
      </c>
    </row>
    <row r="14" ht="20" customHeight="1">
      <c r="A14" s="26" t="inlineStr">
        <is>
          <t>NaCl 0,9%</t>
        </is>
      </c>
      <c r="B14" s="44" t="inlineStr">
        <is>
          <t>154</t>
        </is>
      </c>
      <c r="C14" s="44" t="inlineStr">
        <is>
          <t>Padrão ressuscitação</t>
        </is>
      </c>
    </row>
    <row r="15" ht="20" customHeight="1">
      <c r="A15" s="26" t="inlineStr">
        <is>
          <t>Ringer Lactato</t>
        </is>
      </c>
      <c r="B15" s="30" t="inlineStr">
        <is>
          <t>130</t>
        </is>
      </c>
      <c r="C15" s="30" t="inlineStr">
        <is>
          <t>Preferencial em ressuscitação</t>
        </is>
      </c>
    </row>
    <row r="16" ht="20" customHeight="1">
      <c r="A16" s="26" t="inlineStr">
        <is>
          <t>NaCl 0,45%</t>
        </is>
      </c>
      <c r="B16" s="44" t="inlineStr">
        <is>
          <t>77</t>
        </is>
      </c>
      <c r="C16" s="44" t="inlineStr">
        <is>
          <t>Hipotônica</t>
        </is>
      </c>
    </row>
    <row r="17" ht="20" customHeight="1">
      <c r="A17" s="26" t="inlineStr">
        <is>
          <t>SG 5%</t>
        </is>
      </c>
      <c r="B17" s="30" t="inlineStr">
        <is>
          <t>0</t>
        </is>
      </c>
      <c r="C17" s="30" t="inlineStr">
        <is>
          <t>Hipernatremia</t>
        </is>
      </c>
    </row>
    <row r="18" ht="20" customHeight="1">
      <c r="A18" s="26" t="inlineStr">
        <is>
          <t>NaCl 20%</t>
        </is>
      </c>
      <c r="B18" s="44" t="inlineStr">
        <is>
          <t>3420</t>
        </is>
      </c>
      <c r="C18" s="44" t="inlineStr">
        <is>
          <t>Concentrada — jamais sem diluição adequada</t>
        </is>
      </c>
    </row>
    <row r="19" ht="20" customHeight="1">
      <c r="A19" s="26" t="inlineStr">
        <is>
          <t>NaCl 10%</t>
        </is>
      </c>
      <c r="B19" s="30" t="inlineStr">
        <is>
          <t>1710</t>
        </is>
      </c>
      <c r="C19" s="30" t="inlineStr">
        <is>
          <t>Concentrada</t>
        </is>
      </c>
    </row>
    <row r="22">
      <c r="A22" s="55" t="inlineStr">
        <is>
          <t>⚡  POTÁSSIO — DISTÚRBIOS E CONDUTA</t>
        </is>
      </c>
      <c r="B22" s="4" t="n"/>
      <c r="C22" s="4" t="n"/>
      <c r="D22" s="4" t="n"/>
      <c r="E22" s="4" t="n"/>
      <c r="F22" s="5" t="n"/>
    </row>
    <row r="23">
      <c r="A23" s="3" t="inlineStr">
        <is>
          <t>Distúrbio</t>
        </is>
      </c>
      <c r="B23" s="3" t="inlineStr">
        <is>
          <t>Referência</t>
        </is>
      </c>
      <c r="C23" s="3" t="inlineStr">
        <is>
          <t>Nível crítico</t>
        </is>
      </c>
      <c r="D23" s="3" t="inlineStr">
        <is>
          <t>Clínica</t>
        </is>
      </c>
      <c r="E23" s="3" t="inlineStr">
        <is>
          <t>Conduta</t>
        </is>
      </c>
      <c r="F23" s="3" t="inlineStr">
        <is>
          <t>⚠️ Alerta</t>
        </is>
      </c>
    </row>
    <row r="24" ht="26" customHeight="1">
      <c r="A24" s="26" t="inlineStr">
        <is>
          <t>Hipocalemia</t>
        </is>
      </c>
      <c r="B24" s="30" t="inlineStr">
        <is>
          <t>&lt; 3,5 mEq/L</t>
        </is>
      </c>
      <c r="C24" s="30" t="inlineStr">
        <is>
          <t>&lt; 3,0 grave</t>
        </is>
      </c>
      <c r="D24" s="30" t="inlineStr">
        <is>
          <t>Cãibras, fraqueza, U wave ECG, arritmia</t>
        </is>
      </c>
      <c r="E24" s="30" t="inlineStr">
        <is>
          <t>KCl 19,1% EV — máx 10 mEq/h periférico | 20 mEq/h central</t>
        </is>
      </c>
      <c r="F24" s="56" t="inlineStr">
        <is>
          <t>ECG contínuo se K &lt; 3,0</t>
        </is>
      </c>
    </row>
    <row r="25" ht="26" customHeight="1">
      <c r="A25" s="26" t="inlineStr">
        <is>
          <t>Hipercalemia</t>
        </is>
      </c>
      <c r="B25" s="44" t="inlineStr">
        <is>
          <t>&gt; 5,0 mEq/L</t>
        </is>
      </c>
      <c r="C25" s="44" t="inlineStr">
        <is>
          <t>&gt; 6,5 crítico</t>
        </is>
      </c>
      <c r="D25" s="44" t="inlineStr">
        <is>
          <t>T apiculada, P ausente, alarg QRS, sino</t>
        </is>
      </c>
      <c r="E25" s="44" t="inlineStr">
        <is>
          <t>Gluconato Ca10% 10mL → insulina/glicose → beta2 → HD se grave</t>
        </is>
      </c>
      <c r="F25" s="56" t="inlineStr">
        <is>
          <t>Ca EV salva vidas — fazer ANTES de qualquer coisa</t>
        </is>
      </c>
    </row>
    <row r="26" ht="26" customHeight="1">
      <c r="A26" s="26" t="inlineStr">
        <is>
          <t>Reposição KCl 19,1%</t>
        </is>
      </c>
      <c r="B26" s="30" t="inlineStr">
        <is>
          <t>10 mEq/amp</t>
        </is>
      </c>
      <c r="C26" s="30" t="inlineStr">
        <is>
          <t>NUNCA EV direto</t>
        </is>
      </c>
      <c r="D26" s="30" t="inlineStr">
        <is>
          <t>—</t>
        </is>
      </c>
      <c r="E26" s="30" t="inlineStr">
        <is>
          <t>5–10 mEq/h periférico | até 20 mEq/h CVC</t>
        </is>
      </c>
      <c r="F26" s="56" t="inlineStr">
        <is>
          <t>Diluir sempre | NUNCA IV puro</t>
        </is>
      </c>
    </row>
    <row r="29">
      <c r="A29" s="57" t="inlineStr">
        <is>
          <t>🧪  MAGNÉSIO / CÁLCIO — UTI</t>
        </is>
      </c>
      <c r="B29" s="4" t="n"/>
      <c r="C29" s="4" t="n"/>
      <c r="D29" s="4" t="n"/>
      <c r="E29" s="5" t="n"/>
    </row>
    <row r="30">
      <c r="A30" s="3" t="inlineStr">
        <is>
          <t>Distúrbio</t>
        </is>
      </c>
      <c r="B30" s="3" t="inlineStr">
        <is>
          <t>Nível</t>
        </is>
      </c>
      <c r="C30" s="3" t="inlineStr">
        <is>
          <t>Clínica</t>
        </is>
      </c>
      <c r="D30" s="3" t="inlineStr">
        <is>
          <t>Conduta</t>
        </is>
      </c>
      <c r="E30" s="3" t="inlineStr">
        <is>
          <t>Alerta</t>
        </is>
      </c>
    </row>
    <row r="31" ht="28" customHeight="1">
      <c r="A31" s="39" t="inlineStr">
        <is>
          <t>Hipomagnesemia</t>
        </is>
      </c>
      <c r="B31" s="30" t="inlineStr">
        <is>
          <t>&lt; 1,8 mg/dL</t>
        </is>
      </c>
      <c r="C31" s="30" t="inlineStr">
        <is>
          <t>Arritmia, tetania, hipoK refratária</t>
        </is>
      </c>
      <c r="D31" s="30" t="inlineStr">
        <is>
          <t>MgSO4 2g EV 10–15min; 0,5–1g/h manutenção</t>
        </is>
      </c>
      <c r="E31" s="58" t="inlineStr">
        <is>
          <t>Broncoespasmo se Mg &gt; 4 mg/dL</t>
        </is>
      </c>
    </row>
    <row r="32" ht="28" customHeight="1">
      <c r="A32" s="39" t="inlineStr">
        <is>
          <t>Hipermagnesemia</t>
        </is>
      </c>
      <c r="B32" s="44" t="inlineStr">
        <is>
          <t>&gt; 2,5 mg/dL</t>
        </is>
      </c>
      <c r="C32" s="44" t="inlineStr">
        <is>
          <t>Bloq NMJ, hipotensão, depressão resp</t>
        </is>
      </c>
      <c r="D32" s="44" t="inlineStr">
        <is>
          <t>Gluconato Ca10% EV + diálise se grave</t>
        </is>
      </c>
      <c r="E32" s="58" t="inlineStr">
        <is>
          <t>Ca reverte toxicidade imediatamente</t>
        </is>
      </c>
    </row>
    <row r="33" ht="28" customHeight="1">
      <c r="A33" s="39" t="inlineStr">
        <is>
          <t>Hipocalcemia</t>
        </is>
      </c>
      <c r="B33" s="30" t="inlineStr">
        <is>
          <t>Ca ion &lt; 1,12 mmol/L</t>
        </is>
      </c>
      <c r="C33" s="30" t="inlineStr">
        <is>
          <t>Tetania, hipotensão, arritmia</t>
        </is>
      </c>
      <c r="D33" s="30" t="inlineStr">
        <is>
          <t>Gluconato Ca10% 10mL EV lento</t>
        </is>
      </c>
      <c r="E33" s="58" t="inlineStr">
        <is>
          <t>Monitorar pós-diálise e transfusão maciça</t>
        </is>
      </c>
    </row>
    <row r="34" ht="28" customHeight="1">
      <c r="A34" s="39" t="inlineStr">
        <is>
          <t>Hipercalcemia</t>
        </is>
      </c>
      <c r="B34" s="44" t="inlineStr">
        <is>
          <t>Ca total &gt; 10,5 mg/dL</t>
        </is>
      </c>
      <c r="C34" s="44" t="inlineStr">
        <is>
          <t>Poliúria, constipação, nefrolitíase</t>
        </is>
      </c>
      <c r="D34" s="44" t="inlineStr">
        <is>
          <t>SF 200–300mL/h + bifosfonato + calcitonina</t>
        </is>
      </c>
      <c r="E34" s="58" t="inlineStr">
        <is>
          <t>Furosemida SOMENTE após hidratação adequada</t>
        </is>
      </c>
    </row>
  </sheetData>
  <mergeCells count="8">
    <mergeCell ref="A2:V2"/>
    <mergeCell ref="A29:E29"/>
    <mergeCell ref="A11:C11"/>
    <mergeCell ref="A1:V1"/>
    <mergeCell ref="A6:C6"/>
    <mergeCell ref="A22:F22"/>
    <mergeCell ref="A9:E9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65F46"/>
    <outlinePr summaryBelow="1" summaryRight="1"/>
    <pageSetUpPr/>
  </sheetPr>
  <dimension ref="A1:V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8" customHeight="1">
      <c r="A1" s="1" t="inlineStr">
        <is>
          <t xml:space="preserve">  🏥  ROX · VPP · VPS · RSBI — PREDITORES DE FALHA / DESMAME</t>
        </is>
      </c>
    </row>
    <row r="2" ht="16" customHeight="1">
      <c r="A2" s="2" t="inlineStr">
        <is>
          <t xml:space="preserve">  ⚙️  CNAF · VM controlada · weaning | edite campos amarelos  |  Dr. Aldenir Rocha · HRN &amp; Santa Casa Sobral-CE · v2026.1</t>
        </is>
      </c>
    </row>
    <row r="3">
      <c r="A3" s="49" t="inlineStr">
        <is>
          <t>📡  ÍNDICE ROX — CNAF (Cânula de Alto Fluxo)</t>
        </is>
      </c>
      <c r="B3" s="4" t="n"/>
      <c r="C3" s="4" t="n"/>
      <c r="D3" s="5" t="n"/>
    </row>
    <row r="4">
      <c r="A4" s="3" t="inlineStr">
        <is>
          <t>SatO2 (%)</t>
        </is>
      </c>
      <c r="B4" s="3" t="inlineStr">
        <is>
          <t>FiO2 (%) ex: 35</t>
        </is>
      </c>
      <c r="C4" s="3" t="inlineStr">
        <is>
          <t>FR (irpm)</t>
        </is>
      </c>
      <c r="D4" s="3" t="inlineStr">
        <is>
          <t>—</t>
        </is>
      </c>
    </row>
    <row r="5">
      <c r="A5" s="25" t="n">
        <v>88</v>
      </c>
      <c r="B5" s="25" t="n">
        <v>35</v>
      </c>
      <c r="C5" s="25" t="n">
        <v>24</v>
      </c>
    </row>
    <row r="6">
      <c r="A6" s="59" t="inlineStr">
        <is>
          <t>🎯  ÍNDICE ROX</t>
        </is>
      </c>
      <c r="B6" s="50">
        <f>ROUND((A5/B5)*100/C5,2)</f>
        <v/>
      </c>
      <c r="C6" s="59" t="inlineStr"/>
      <c r="D6" s="59" t="inlineStr"/>
    </row>
    <row r="7" ht="28" customHeight="1">
      <c r="A7" s="54">
        <f>IF((A5/B5*100/C5)&gt;6.48,"✅ ROX &gt; 6,48 → Provável sucesso CNAF (COVID e não-COVID)",IF((A5/B5*100/C5)&gt;5.79,"⚠️ ROX 5,79–6,48 → Sucesso em não-COVID; vigilância se COVID","🔴 ROX ≤ 5,79 → ALTO RISCO FALHA CNAF — Preparar IOT!"))</f>
        <v/>
      </c>
    </row>
    <row r="8">
      <c r="A8" s="60" t="inlineStr">
        <is>
          <t>📌  Medir: 1h · 2h · 4h★(mais preditivo) · 6h · 12h · 24h | Roca AJRCCM 2019 | Tornero 2023</t>
        </is>
      </c>
      <c r="B8" s="4" t="n"/>
      <c r="C8" s="4" t="n"/>
      <c r="D8" s="5" t="n"/>
    </row>
    <row r="10">
      <c r="A10" s="55" t="inlineStr">
        <is>
          <t>💓  VPP / VPS — VARIAÇÃO DE PRESSÃO (VM controlada)</t>
        </is>
      </c>
      <c r="B10" s="4" t="n"/>
      <c r="C10" s="4" t="n"/>
      <c r="D10" s="5" t="n"/>
    </row>
    <row r="11">
      <c r="A11" s="3" t="inlineStr">
        <is>
          <t>PAS máx (mmHg)</t>
        </is>
      </c>
      <c r="B11" s="3" t="inlineStr">
        <is>
          <t>PAD máx (mmHg)</t>
        </is>
      </c>
      <c r="C11" s="3" t="inlineStr">
        <is>
          <t>PAS mín (mmHg)</t>
        </is>
      </c>
      <c r="D11" s="3" t="inlineStr">
        <is>
          <t>PAD mín (mmHg)</t>
        </is>
      </c>
    </row>
    <row r="12">
      <c r="A12" s="25" t="n">
        <v>105</v>
      </c>
      <c r="B12" s="25" t="n">
        <v>50</v>
      </c>
      <c r="C12" s="25" t="n">
        <v>93</v>
      </c>
      <c r="D12" s="25" t="n">
        <v>47</v>
      </c>
    </row>
    <row r="13">
      <c r="A13" s="26" t="inlineStr">
        <is>
          <t>PP máx</t>
        </is>
      </c>
      <c r="B13" s="61">
        <f>A12-B12</f>
        <v/>
      </c>
      <c r="C13" s="26" t="inlineStr">
        <is>
          <t>PP mín</t>
        </is>
      </c>
      <c r="D13" s="61">
        <f>C12-D12</f>
        <v/>
      </c>
    </row>
    <row r="14">
      <c r="A14" s="59" t="inlineStr">
        <is>
          <t>🎯  VPP (%)</t>
        </is>
      </c>
      <c r="B14" s="50">
        <f>IFERROR(ROUND((B13-D13)/((B13+D13)/2)*100,1),0)</f>
        <v/>
      </c>
      <c r="C14" s="59" t="inlineStr">
        <is>
          <t>🎯  VPS (%)</t>
        </is>
      </c>
      <c r="D14" s="52">
        <f>IFERROR(ROUND((A12-C12)/((A12+C12)/2)*100,1),0)</f>
        <v/>
      </c>
    </row>
    <row r="15" ht="26" customHeight="1">
      <c r="A15" s="62">
        <f>IF(IFERROR((B13-D13)/((B13+D13)/2)*100,0)&gt;13,"🔴 VPP &gt; 13% → RESPONSIVO A VOLUME (sedado/VM controlada/seio rítmico)","✅ VPP ≤ 13% → Provavelmente NÃO responsivo a volume")</f>
        <v/>
      </c>
    </row>
    <row r="16">
      <c r="A16" s="63" t="inlineStr">
        <is>
          <t>⚠️  VPP só é válido em: VM controlada sem esforço espontâneo · FC regular · Vt ≥ 8 mL/kg IBW · sem arritmia</t>
        </is>
      </c>
      <c r="B16" s="4" t="n"/>
      <c r="C16" s="4" t="n"/>
      <c r="D16" s="5" t="n"/>
    </row>
    <row r="18">
      <c r="A18" s="57" t="inlineStr">
        <is>
          <t>🫁  RSBI — Rapid Shallow Breathing Index</t>
        </is>
      </c>
      <c r="B18" s="4" t="n"/>
      <c r="C18" s="4" t="n"/>
      <c r="D18" s="5" t="n"/>
    </row>
    <row r="19">
      <c r="A19" s="3" t="inlineStr">
        <is>
          <t>FR (irpm)</t>
        </is>
      </c>
      <c r="B19" s="3" t="inlineStr">
        <is>
          <t>Vt no TI (L)</t>
        </is>
      </c>
      <c r="C19" s="3" t="inlineStr">
        <is>
          <t>—</t>
        </is>
      </c>
      <c r="D19" s="3" t="inlineStr">
        <is>
          <t>—</t>
        </is>
      </c>
    </row>
    <row r="20">
      <c r="A20" s="25" t="n">
        <v>28</v>
      </c>
      <c r="B20" s="25" t="n">
        <v>0.35</v>
      </c>
    </row>
    <row r="21">
      <c r="A21" s="59" t="inlineStr">
        <is>
          <t>🎯  RSBI</t>
        </is>
      </c>
      <c r="B21" s="50">
        <f>IFERROR(ROUND(A20/B20,0),0)</f>
        <v/>
      </c>
    </row>
    <row r="22" ht="26" customHeight="1">
      <c r="A22" s="62">
        <f>IF(IFERROR(A20/B20,0)&lt;=105,"✅ RSBI ≤ 105 fr/L → Extubação pode ser considerada (sensibilidade ~97%)","🔴 RSBI &gt; 105 fr/L → Alto risco de falha de extubação")</f>
        <v/>
      </c>
    </row>
    <row r="24">
      <c r="A24" s="41" t="inlineStr">
        <is>
          <t>📊  TABELA REFERÊNCIA PREDITORES DE DESMAME</t>
        </is>
      </c>
      <c r="B24" s="4" t="n"/>
      <c r="C24" s="4" t="n"/>
      <c r="D24" s="4" t="n"/>
      <c r="E24" s="5" t="n"/>
    </row>
    <row r="25">
      <c r="A25" s="3" t="inlineStr">
        <is>
          <t>Preditor</t>
        </is>
      </c>
      <c r="B25" s="3" t="inlineStr">
        <is>
          <t>Ponto de corte</t>
        </is>
      </c>
      <c r="C25" s="3" t="inlineStr">
        <is>
          <t>Sensibilidade</t>
        </is>
      </c>
      <c r="D25" s="3" t="inlineStr">
        <is>
          <t>Especificidade</t>
        </is>
      </c>
      <c r="E25" s="3" t="inlineStr">
        <is>
          <t>Observação</t>
        </is>
      </c>
    </row>
    <row r="26" ht="22" customHeight="1">
      <c r="A26" s="26" t="inlineStr">
        <is>
          <t>RSBI (fr/L)</t>
        </is>
      </c>
      <c r="B26" s="30" t="inlineStr">
        <is>
          <t>≤ 105</t>
        </is>
      </c>
      <c r="C26" s="30" t="inlineStr">
        <is>
          <t>~97%</t>
        </is>
      </c>
      <c r="D26" s="30" t="inlineStr">
        <is>
          <t>~64%</t>
        </is>
      </c>
      <c r="E26" s="30" t="inlineStr">
        <is>
          <t>Mais usado. Medir no TI 1–3min (tubo T ou PS mínima).</t>
        </is>
      </c>
    </row>
    <row r="27" ht="22" customHeight="1">
      <c r="A27" s="26" t="inlineStr">
        <is>
          <t>ROX índice</t>
        </is>
      </c>
      <c r="B27" s="44" t="inlineStr">
        <is>
          <t>≥ 6,48 COVID | ≥ 5,79 não-COVID</t>
        </is>
      </c>
      <c r="C27" s="44" t="inlineStr">
        <is>
          <t>81%</t>
        </is>
      </c>
      <c r="D27" s="44" t="inlineStr">
        <is>
          <t>76%</t>
        </is>
      </c>
      <c r="E27" s="44" t="inlineStr">
        <is>
          <t>CNAF. Medir em 4h pós-início.</t>
        </is>
      </c>
    </row>
    <row r="28" ht="22" customHeight="1">
      <c r="A28" s="26" t="inlineStr">
        <is>
          <t>VPP (%)</t>
        </is>
      </c>
      <c r="B28" s="30" t="inlineStr">
        <is>
          <t>≤ 13% = não responsivo</t>
        </is>
      </c>
      <c r="C28" s="30" t="inlineStr">
        <is>
          <t>Varies</t>
        </is>
      </c>
      <c r="D28" s="30" t="inlineStr">
        <is>
          <t>Varies</t>
        </is>
      </c>
      <c r="E28" s="30" t="inlineStr">
        <is>
          <t>Só VM controlada sem esforço.</t>
        </is>
      </c>
    </row>
    <row r="29" ht="22" customHeight="1">
      <c r="A29" s="26" t="inlineStr">
        <is>
          <t>Pimax (cmH2O)</t>
        </is>
      </c>
      <c r="B29" s="44" t="inlineStr">
        <is>
          <t>&lt; -25 cmH2O</t>
        </is>
      </c>
      <c r="C29" s="44" t="inlineStr">
        <is>
          <t>~87%</t>
        </is>
      </c>
      <c r="D29" s="44" t="inlineStr">
        <is>
          <t>~60%</t>
        </is>
      </c>
      <c r="E29" s="44" t="inlineStr">
        <is>
          <t>Força muscular inspiratória.</t>
        </is>
      </c>
    </row>
    <row r="30" ht="22" customHeight="1">
      <c r="A30" s="26" t="inlineStr">
        <is>
          <t>Cuff leak test</t>
        </is>
      </c>
      <c r="B30" s="30" t="inlineStr">
        <is>
          <t>Fuga ao desinflar cuff</t>
        </is>
      </c>
      <c r="C30" s="30" t="inlineStr">
        <is>
          <t>Varia</t>
        </is>
      </c>
      <c r="D30" s="30" t="inlineStr">
        <is>
          <t>Varia</t>
        </is>
      </c>
      <c r="E30" s="30" t="inlineStr">
        <is>
          <t>Stridor pós-extubação em alto risco.</t>
        </is>
      </c>
    </row>
    <row r="31" ht="22" customHeight="1">
      <c r="A31" s="26" t="inlineStr">
        <is>
          <t>Occlusion pressure P0.1</t>
        </is>
      </c>
      <c r="B31" s="44" t="inlineStr">
        <is>
          <t>&lt; 3,5 cmH2O</t>
        </is>
      </c>
      <c r="C31" s="44" t="inlineStr">
        <is>
          <t>~72%</t>
        </is>
      </c>
      <c r="D31" s="44" t="inlineStr">
        <is>
          <t>~73%</t>
        </is>
      </c>
      <c r="E31" s="44" t="inlineStr">
        <is>
          <t>Esforço respiratório — disponível em VMs modernas.</t>
        </is>
      </c>
    </row>
  </sheetData>
  <mergeCells count="11">
    <mergeCell ref="A2:V2"/>
    <mergeCell ref="A18:D18"/>
    <mergeCell ref="A8:D8"/>
    <mergeCell ref="A24:E24"/>
    <mergeCell ref="A22:D22"/>
    <mergeCell ref="A1:V1"/>
    <mergeCell ref="A3:D3"/>
    <mergeCell ref="A15:D15"/>
    <mergeCell ref="A7:D7"/>
    <mergeCell ref="A16:D16"/>
    <mergeCell ref="A10:D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V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8" customHeight="1">
      <c r="A1" s="1" t="inlineStr">
        <is>
          <t xml:space="preserve">  🏥  VENTILAÇÃO MECÂNICA — ARDS · PROTETORA · DESMAME</t>
        </is>
      </c>
    </row>
    <row r="2" ht="16" customHeight="1">
      <c r="A2" s="2" t="inlineStr">
        <is>
          <t xml:space="preserve">  ⚙️  Calculadora VC/PBW/DP | Berlin | PEEP/FiO2 | ESICM 2023  |  Dr. Aldenir Rocha · HRN &amp; Santa Casa Sobral-CE · v2026.1</t>
        </is>
      </c>
    </row>
    <row r="3">
      <c r="A3" s="57" t="inlineStr">
        <is>
          <t>⚙️  CALCULADORA PESO PREDITO / VOLUME CORRENTE / DRIVING PRESSURE</t>
        </is>
      </c>
      <c r="B3" s="4" t="n"/>
      <c r="C3" s="4" t="n"/>
      <c r="D3" s="4" t="n"/>
      <c r="E3" s="4" t="n"/>
      <c r="F3" s="5" t="n"/>
    </row>
    <row r="4">
      <c r="A4" s="3" t="inlineStr">
        <is>
          <t>Altura (cm)</t>
        </is>
      </c>
      <c r="B4" s="3" t="inlineStr">
        <is>
          <t>Idade</t>
        </is>
      </c>
      <c r="C4" s="3" t="inlineStr">
        <is>
          <t>Sexo</t>
        </is>
      </c>
      <c r="D4" s="3" t="inlineStr">
        <is>
          <t>Vt alvo (mL/kg IBW)</t>
        </is>
      </c>
      <c r="E4" s="3" t="inlineStr">
        <is>
          <t>Pplat (cmH2O)</t>
        </is>
      </c>
      <c r="F4" s="3" t="inlineStr">
        <is>
          <t>PEEP (cmH2O)</t>
        </is>
      </c>
    </row>
    <row r="5">
      <c r="A5" s="25" t="n">
        <v>170</v>
      </c>
      <c r="B5" s="25" t="n">
        <v>50</v>
      </c>
      <c r="C5" s="25" t="inlineStr">
        <is>
          <t>Homem</t>
        </is>
      </c>
      <c r="D5" s="25" t="n">
        <v>6</v>
      </c>
      <c r="E5" s="25" t="n">
        <v>25</v>
      </c>
      <c r="F5" s="25" t="n">
        <v>8</v>
      </c>
    </row>
    <row r="6">
      <c r="A6" s="43" t="inlineStr">
        <is>
          <t>📊  RESULTADOS</t>
        </is>
      </c>
      <c r="B6" s="4" t="n"/>
      <c r="C6" s="4" t="n"/>
      <c r="D6" s="5" t="n"/>
    </row>
    <row r="7">
      <c r="A7" s="3" t="inlineStr">
        <is>
          <t>PBW Homem (kg)</t>
        </is>
      </c>
      <c r="B7" s="38">
        <f>ROUND(50+0.91*(A5-152.4),1)</f>
        <v/>
      </c>
    </row>
    <row r="8">
      <c r="A8" s="3" t="inlineStr">
        <is>
          <t>PBW Mulher (kg)</t>
        </is>
      </c>
      <c r="B8" s="40">
        <f>ROUND(45.5+0.91*(A5-152.4),1)</f>
        <v/>
      </c>
    </row>
    <row r="9">
      <c r="A9" s="3" t="inlineStr">
        <is>
          <t>VC Homem 4mL/kg (mL)</t>
        </is>
      </c>
      <c r="B9" s="38">
        <f>ROUND((50+0.91*(A5-152.4))*4,0)</f>
        <v/>
      </c>
    </row>
    <row r="10">
      <c r="A10" s="3" t="inlineStr">
        <is>
          <t>VC Homem alvo (mL)</t>
        </is>
      </c>
      <c r="B10" s="40">
        <f>ROUND((50+0.91*(A5-152.4))*D5,0)</f>
        <v/>
      </c>
    </row>
    <row r="11">
      <c r="A11" s="3" t="inlineStr">
        <is>
          <t>VC Mulher 4mL/kg (mL)</t>
        </is>
      </c>
      <c r="B11" s="38">
        <f>ROUND((45.5+0.91*(A5-152.4))*4,0)</f>
        <v/>
      </c>
    </row>
    <row r="12">
      <c r="A12" s="3" t="inlineStr">
        <is>
          <t>VC Mulher alvo (mL)</t>
        </is>
      </c>
      <c r="B12" s="40">
        <f>ROUND((45.5+0.91*(A5-152.4))*D5,0)</f>
        <v/>
      </c>
    </row>
    <row r="13">
      <c r="A13" s="3" t="inlineStr">
        <is>
          <t>PaO2 esperada (mmHg)</t>
        </is>
      </c>
      <c r="B13" s="38">
        <f>ROUND(100-0.32*B5,0)&amp;" ± 5"</f>
        <v/>
      </c>
    </row>
    <row r="14">
      <c r="A14" s="3" t="inlineStr">
        <is>
          <t>Driving Pressure (cmH2O)</t>
        </is>
      </c>
      <c r="B14" s="40">
        <f>E5-F5</f>
        <v/>
      </c>
      <c r="C14" s="64">
        <f>IF(E5-F5&gt;15,"🔴 DP&gt;15 — ALTO RISCO BVILI",IF(E5-F5&gt;13,"⚠️ DP 13–15 — limítrofe","✅ DP ≤ 13 — meta protetora"))</f>
        <v/>
      </c>
    </row>
    <row r="16">
      <c r="A16" s="41" t="inlineStr">
        <is>
          <t>📊  BERLIN ARDS 2012 — CRITÉRIOS E CONDUTA 2026</t>
        </is>
      </c>
      <c r="B16" s="4" t="n"/>
      <c r="C16" s="4" t="n"/>
      <c r="D16" s="4" t="n"/>
      <c r="E16" s="4" t="n"/>
      <c r="F16" s="5" t="n"/>
    </row>
    <row r="17">
      <c r="A17" s="3" t="inlineStr">
        <is>
          <t>Gravidade</t>
        </is>
      </c>
      <c r="B17" s="3" t="inlineStr">
        <is>
          <t>P/F ratio</t>
        </is>
      </c>
      <c r="C17" s="3" t="inlineStr">
        <is>
          <t>PEEP mín</t>
        </is>
      </c>
      <c r="D17" s="3" t="inlineStr">
        <is>
          <t>Mortalidade</t>
        </is>
      </c>
      <c r="E17" s="3" t="inlineStr">
        <is>
          <t>Conduta chave</t>
        </is>
      </c>
      <c r="F17" s="3" t="inlineStr">
        <is>
          <t>Evidência</t>
        </is>
      </c>
    </row>
    <row r="18" ht="32" customHeight="1">
      <c r="A18" s="65" t="inlineStr">
        <is>
          <t>Leve</t>
        </is>
      </c>
      <c r="B18" s="30" t="inlineStr">
        <is>
          <t>P/F 200–300</t>
        </is>
      </c>
      <c r="C18" s="30" t="inlineStr">
        <is>
          <t>≥ 5 cmH2O</t>
        </is>
      </c>
      <c r="D18" s="30" t="inlineStr">
        <is>
          <t>~27%</t>
        </is>
      </c>
      <c r="E18" s="30" t="inlineStr">
        <is>
          <t>Otimizar PEEP; VNI selecionada; posição lateral; fisioterapia</t>
        </is>
      </c>
      <c r="F18" s="66" t="inlineStr">
        <is>
          <t>Berlin 2012 / ESICM 2023</t>
        </is>
      </c>
    </row>
    <row r="19" ht="32" customHeight="1">
      <c r="A19" s="67" t="inlineStr">
        <is>
          <t>Moderada</t>
        </is>
      </c>
      <c r="B19" s="44" t="inlineStr">
        <is>
          <t>P/F 100–200</t>
        </is>
      </c>
      <c r="C19" s="44" t="inlineStr">
        <is>
          <t>≥ 5 cmH2O</t>
        </is>
      </c>
      <c r="D19" s="44" t="inlineStr">
        <is>
          <t>~32%</t>
        </is>
      </c>
      <c r="E19" s="44" t="inlineStr">
        <is>
          <t>Prona se P/F&lt;150 após 12–16h; BNM cisatracúrio 48h; Vt 4–6mL/kg</t>
        </is>
      </c>
      <c r="F19" s="66" t="inlineStr">
        <is>
          <t>Guérin 2013 / ACURASYS</t>
        </is>
      </c>
    </row>
    <row r="20" ht="32" customHeight="1">
      <c r="A20" s="68" t="inlineStr">
        <is>
          <t>Grave</t>
        </is>
      </c>
      <c r="B20" s="30" t="inlineStr">
        <is>
          <t>P/F &lt; 100</t>
        </is>
      </c>
      <c r="C20" s="30" t="inlineStr">
        <is>
          <t>≥ 5 cmH2O</t>
        </is>
      </c>
      <c r="D20" s="30" t="inlineStr">
        <is>
          <t>~45%</t>
        </is>
      </c>
      <c r="E20" s="30" t="inlineStr">
        <is>
          <t>Prona obrigatório; ECMO VV se P/F&lt;80 refratário em centro experiente</t>
        </is>
      </c>
      <c r="F20" s="66" t="inlineStr">
        <is>
          <t>EOLIA / ESICM 2023</t>
        </is>
      </c>
    </row>
    <row r="22">
      <c r="A22" s="43" t="inlineStr">
        <is>
          <t>📋  TABELA PEEP/FiO2 ARDSnet — ESTRATÉGIA HIGH PEEP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5" t="n"/>
    </row>
    <row r="23">
      <c r="A23" s="39" t="inlineStr">
        <is>
          <t>FiO2</t>
        </is>
      </c>
      <c r="B23" s="69" t="inlineStr">
        <is>
          <t>0,30</t>
        </is>
      </c>
      <c r="C23" s="69" t="inlineStr">
        <is>
          <t>0,40</t>
        </is>
      </c>
      <c r="D23" s="69" t="inlineStr">
        <is>
          <t>0,40</t>
        </is>
      </c>
      <c r="E23" s="69" t="inlineStr">
        <is>
          <t>0,50</t>
        </is>
      </c>
      <c r="F23" s="69" t="inlineStr">
        <is>
          <t>0,50</t>
        </is>
      </c>
      <c r="G23" s="69" t="inlineStr">
        <is>
          <t>0,60</t>
        </is>
      </c>
      <c r="H23" s="69" t="inlineStr">
        <is>
          <t>0,70</t>
        </is>
      </c>
      <c r="I23" s="69" t="inlineStr">
        <is>
          <t>0,70</t>
        </is>
      </c>
      <c r="J23" s="69" t="inlineStr">
        <is>
          <t>0,70</t>
        </is>
      </c>
      <c r="K23" s="69" t="inlineStr">
        <is>
          <t>0,80</t>
        </is>
      </c>
      <c r="L23" s="69" t="inlineStr">
        <is>
          <t>0,90</t>
        </is>
      </c>
      <c r="M23" s="69" t="inlineStr">
        <is>
          <t>0,90</t>
        </is>
      </c>
      <c r="N23" s="69" t="inlineStr">
        <is>
          <t>1,0</t>
        </is>
      </c>
    </row>
    <row r="24">
      <c r="A24" s="70" t="inlineStr">
        <is>
          <t>PEEP</t>
        </is>
      </c>
      <c r="B24" s="71" t="inlineStr">
        <is>
          <t>5</t>
        </is>
      </c>
      <c r="C24" s="71" t="inlineStr">
        <is>
          <t>8</t>
        </is>
      </c>
      <c r="D24" s="71" t="inlineStr">
        <is>
          <t>10</t>
        </is>
      </c>
      <c r="E24" s="71" t="inlineStr">
        <is>
          <t>10</t>
        </is>
      </c>
      <c r="F24" s="71" t="inlineStr">
        <is>
          <t>12</t>
        </is>
      </c>
      <c r="G24" s="71" t="inlineStr">
        <is>
          <t>14</t>
        </is>
      </c>
      <c r="H24" s="71" t="inlineStr">
        <is>
          <t>14</t>
        </is>
      </c>
      <c r="I24" s="71" t="inlineStr">
        <is>
          <t>16</t>
        </is>
      </c>
      <c r="J24" s="71" t="inlineStr">
        <is>
          <t>18</t>
        </is>
      </c>
      <c r="K24" s="71" t="inlineStr">
        <is>
          <t>18</t>
        </is>
      </c>
      <c r="L24" s="71" t="inlineStr">
        <is>
          <t>20</t>
        </is>
      </c>
      <c r="M24" s="71" t="inlineStr">
        <is>
          <t>22</t>
        </is>
      </c>
      <c r="N24" s="71" t="inlineStr">
        <is>
          <t>22–24</t>
        </is>
      </c>
    </row>
    <row r="26">
      <c r="A26" s="55" t="inlineStr">
        <is>
          <t>🗺️  ALGORITMOS VM UTI 2026</t>
        </is>
      </c>
      <c r="B26" s="4" t="n"/>
      <c r="C26" s="4" t="n"/>
      <c r="D26" s="4" t="n"/>
      <c r="E26" s="4" t="n"/>
      <c r="F26" s="5" t="n"/>
    </row>
    <row r="27">
      <c r="A27" s="3" t="inlineStr">
        <is>
          <t>Situação</t>
        </is>
      </c>
      <c r="B27" s="3" t="inlineStr">
        <is>
          <t>Algoritmo de manejo</t>
        </is>
      </c>
      <c r="C27" s="3" t="inlineStr">
        <is>
          <t>Meta</t>
        </is>
      </c>
      <c r="D27" s="3" t="inlineStr">
        <is>
          <t>Evitar</t>
        </is>
      </c>
      <c r="E27" s="3" t="inlineStr">
        <is>
          <t>Evidência</t>
        </is>
      </c>
      <c r="F27" s="3" t="inlineStr">
        <is>
          <t>Obs</t>
        </is>
      </c>
    </row>
    <row r="28" ht="28" customHeight="1">
      <c r="A28" s="59" t="inlineStr">
        <is>
          <t>ARDS</t>
        </is>
      </c>
      <c r="B28" s="30" t="inlineStr">
        <is>
          <t>Vt 4–6 mL/kg IBW → Pplat&lt;30 → DP&lt;15 → PEEP/FiO2 → Prona P/F&lt;150 → ECMO refratário</t>
        </is>
      </c>
      <c r="C28" s="30" t="inlineStr">
        <is>
          <t>P/F, Pplat, DP</t>
        </is>
      </c>
      <c r="D28" s="30" t="inlineStr">
        <is>
          <t>Vt alto, FiO2 100% prolongada</t>
        </is>
      </c>
      <c r="E28" s="72" t="inlineStr">
        <is>
          <t>ESICM 2023</t>
        </is>
      </c>
      <c r="F28" s="30" t="inlineStr">
        <is>
          <t>Individualizar hemodinâmica VD</t>
        </is>
      </c>
    </row>
    <row r="29" ht="28" customHeight="1">
      <c r="A29" s="59" t="inlineStr">
        <is>
          <t>DPOC/Auto-PEEP</t>
        </is>
      </c>
      <c r="B29" s="44" t="inlineStr">
        <is>
          <t>FR 10–14 + Ti curto + fluxo alto → permissive hypercapnia → broncodilatador inalatório</t>
        </is>
      </c>
      <c r="C29" s="44" t="inlineStr">
        <is>
          <t>Fluxo exp zerando? auto-PEEP?</t>
        </is>
      </c>
      <c r="D29" s="44" t="inlineStr">
        <is>
          <t>FR alta, Ti longo, empilhar ar</t>
        </is>
      </c>
      <c r="E29" s="72" t="inlineStr">
        <is>
          <t>Fisiologia VM</t>
        </is>
      </c>
      <c r="F29" s="44" t="inlineStr">
        <is>
          <t>PEEP ext cuidadosa se trigger</t>
        </is>
      </c>
    </row>
    <row r="30" ht="28" customHeight="1">
      <c r="A30" s="59" t="inlineStr">
        <is>
          <t>Desmame</t>
        </is>
      </c>
      <c r="B30" s="30" t="inlineStr">
        <is>
          <t>SAT+SBT diário se estável → PS5+PEEP5 → extubar se RSBI&lt;105+tosse+secreção</t>
        </is>
      </c>
      <c r="C30" s="30" t="inlineStr">
        <is>
          <t>RSBI, tosse, cuff leak risco</t>
        </is>
      </c>
      <c r="D30" s="30" t="inlineStr">
        <is>
          <t>Postergar sem motivo; sedação excessiva</t>
        </is>
      </c>
      <c r="E30" s="72" t="inlineStr">
        <is>
          <t>ICU Liberation</t>
        </is>
      </c>
      <c r="F30" s="30" t="inlineStr">
        <is>
          <t>VNI/HFNC pós-ext se alto risco</t>
        </is>
      </c>
    </row>
    <row r="31" ht="28" customHeight="1">
      <c r="A31" s="59" t="inlineStr">
        <is>
          <t>Hipoxemia súbita</t>
        </is>
      </c>
      <c r="B31" s="44" t="inlineStr">
        <is>
          <t>DOPE: deslocamento/obstrução/pneumotórax/equipamento → POCUS/RX/curvas</t>
        </is>
      </c>
      <c r="C31" s="44" t="inlineStr">
        <is>
          <t>Pico/Pplat, curva fluxo, capno</t>
        </is>
      </c>
      <c r="D31" s="44" t="inlineStr">
        <is>
          <t>Subir FiO2 sem investigar</t>
        </is>
      </c>
      <c r="E31" s="72" t="inlineStr">
        <is>
          <t>Prática UTI</t>
        </is>
      </c>
      <c r="F31" s="44" t="inlineStr">
        <is>
          <t>Atelectasia, TEP, edema, pneumonia</t>
        </is>
      </c>
    </row>
  </sheetData>
  <mergeCells count="8">
    <mergeCell ref="A2:V2"/>
    <mergeCell ref="A16:F16"/>
    <mergeCell ref="A22:N22"/>
    <mergeCell ref="A6:D6"/>
    <mergeCell ref="A1:V1"/>
    <mergeCell ref="A26:F26"/>
    <mergeCell ref="C14:D14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V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26" customWidth="1" min="5" max="5"/>
    <col width="58" customWidth="1" min="6" max="6"/>
  </cols>
  <sheetData>
    <row r="1" ht="28" customHeight="1">
      <c r="A1" s="1" t="inlineStr">
        <is>
          <t xml:space="preserve">  🏥  SEQUÊNCIA RÁPIDA DE INTUBAÇÃO — RSI</t>
        </is>
      </c>
    </row>
    <row r="2" ht="16" customHeight="1">
      <c r="A2" s="2" t="inlineStr">
        <is>
          <t xml:space="preserve">  ⚙️  Doses por peso · kit materiais · algoritmo por cenário  |  Dr. Aldenir Rocha · HRN &amp; Santa Casa Sobral-CE · v2026.1</t>
        </is>
      </c>
    </row>
    <row r="3">
      <c r="A3" s="73" t="inlineStr">
        <is>
          <t>🚨  FÁRMACOS RSI — DOSES ESTIMADAS POR PESO</t>
        </is>
      </c>
      <c r="B3" s="4" t="n"/>
      <c r="C3" s="4" t="n"/>
      <c r="D3" s="4" t="n"/>
      <c r="E3" s="4" t="n"/>
      <c r="F3" s="5" t="n"/>
    </row>
    <row r="4">
      <c r="A4" s="3" t="inlineStr">
        <is>
          <t>FÁRMACO</t>
        </is>
      </c>
      <c r="B4" s="3" t="inlineStr">
        <is>
          <t>60 kg</t>
        </is>
      </c>
      <c r="C4" s="3" t="inlineStr">
        <is>
          <t>80 kg</t>
        </is>
      </c>
      <c r="D4" s="3" t="inlineStr">
        <is>
          <t>100 kg</t>
        </is>
      </c>
      <c r="E4" s="3" t="inlineStr">
        <is>
          <t>Dose/kg · início/duração</t>
        </is>
      </c>
      <c r="F4" s="3" t="inlineStr">
        <is>
          <t>Indicação / Observação</t>
        </is>
      </c>
    </row>
    <row r="5" ht="26" customHeight="1">
      <c r="A5" s="41" t="inlineStr">
        <is>
          <t>💊 Cetamina 50mg/mL</t>
        </is>
      </c>
      <c r="B5" s="74" t="inlineStr">
        <is>
          <t>3 mL</t>
        </is>
      </c>
      <c r="C5" s="74" t="inlineStr">
        <is>
          <t>4 mL</t>
        </is>
      </c>
      <c r="D5" s="74" t="inlineStr">
        <is>
          <t>5 mL</t>
        </is>
      </c>
      <c r="E5" s="75" t="inlineStr">
        <is>
          <t>1–2mg/kg | 30–40s / 10–20min</t>
        </is>
      </c>
      <c r="F5" s="76" t="inlineStr">
        <is>
          <t>Broncoespasmo, DPOC, choque. Analgesia 0,3–0,5mg/kg. Dissociativa 1–2mg/kg.</t>
        </is>
      </c>
    </row>
    <row r="6" ht="26" customHeight="1">
      <c r="A6" s="41" t="inlineStr">
        <is>
          <t>💉 Propofol 10mg/mL</t>
        </is>
      </c>
      <c r="B6" s="77" t="inlineStr">
        <is>
          <t>12 mL</t>
        </is>
      </c>
      <c r="C6" s="77" t="inlineStr">
        <is>
          <t>16 mL</t>
        </is>
      </c>
      <c r="D6" s="77" t="inlineStr">
        <is>
          <t>20 mL</t>
        </is>
      </c>
      <c r="E6" s="75" t="inlineStr">
        <is>
          <t>1,5–3mg/kg | 15–45s / 5–10min</t>
        </is>
      </c>
      <c r="F6" s="78" t="inlineStr">
        <is>
          <t>⚠️ Hipotensão! Broncoespasmo leve. Sem analgesia. Evitar em choque.</t>
        </is>
      </c>
    </row>
    <row r="7" ht="26" customHeight="1">
      <c r="A7" s="41" t="inlineStr">
        <is>
          <t>💤 Etomidato 2mg/mL</t>
        </is>
      </c>
      <c r="B7" s="74" t="inlineStr">
        <is>
          <t>9 mL</t>
        </is>
      </c>
      <c r="C7" s="74" t="inlineStr">
        <is>
          <t>12 mL</t>
        </is>
      </c>
      <c r="D7" s="74" t="inlineStr">
        <is>
          <t>15 mL</t>
        </is>
      </c>
      <c r="E7" s="75" t="inlineStr">
        <is>
          <t>0,3mg/kg | 30–45s / 3–12min</t>
        </is>
      </c>
      <c r="F7" s="76" t="inlineStr">
        <is>
          <t>1ª escolha choque/TCE. Supressão adrenal 24h — não é CI absoluta.</t>
        </is>
      </c>
    </row>
    <row r="8" ht="26" customHeight="1">
      <c r="A8" s="41" t="inlineStr">
        <is>
          <t>😴 Midazolam 5mg/mL</t>
        </is>
      </c>
      <c r="B8" s="77" t="inlineStr">
        <is>
          <t>3 mL</t>
        </is>
      </c>
      <c r="C8" s="77" t="inlineStr">
        <is>
          <t>4 mL</t>
        </is>
      </c>
      <c r="D8" s="77" t="inlineStr">
        <is>
          <t>5 mL</t>
        </is>
      </c>
      <c r="E8" s="75" t="inlineStr">
        <is>
          <t>0,2mg/kg | 30–60s / 30–60min</t>
        </is>
      </c>
      <c r="F8" s="78" t="inlineStr">
        <is>
          <t>Apenas normotenso. Coadjuvante — não indução isolada.</t>
        </is>
      </c>
    </row>
    <row r="9" ht="6" customHeight="1">
      <c r="A9" s="79" t="inlineStr"/>
    </row>
    <row r="10" ht="26" customHeight="1">
      <c r="A10" s="41" t="inlineStr">
        <is>
          <t>🔒 Succinilcolina+AD10mL</t>
        </is>
      </c>
      <c r="B10" s="77" t="inlineStr">
        <is>
          <t>6 mL</t>
        </is>
      </c>
      <c r="C10" s="77" t="inlineStr">
        <is>
          <t>8 mL</t>
        </is>
      </c>
      <c r="D10" s="77" t="inlineStr">
        <is>
          <t>10 mL</t>
        </is>
      </c>
      <c r="E10" s="75" t="inlineStr">
        <is>
          <t>1–1,5mg/kg | 30–60s / 6–10min</t>
        </is>
      </c>
      <c r="F10" s="78" t="inlineStr">
        <is>
          <t>BNM 1ª linha RSI. CI: hipercalemia, rabdomiólise, queimado &gt;24h, miopatia.</t>
        </is>
      </c>
    </row>
    <row r="11" ht="26" customHeight="1">
      <c r="A11" s="41" t="inlineStr">
        <is>
          <t>🔒 Rocurônio 10mg/mL</t>
        </is>
      </c>
      <c r="B11" s="74" t="inlineStr">
        <is>
          <t>7 mL</t>
        </is>
      </c>
      <c r="C11" s="74" t="inlineStr">
        <is>
          <t>9 mL</t>
        </is>
      </c>
      <c r="D11" s="74" t="inlineStr">
        <is>
          <t>10 mL</t>
        </is>
      </c>
      <c r="E11" s="75" t="inlineStr">
        <is>
          <t>1–1,2mg/kg | 60–90s / 30–60min</t>
        </is>
      </c>
      <c r="F11" s="76" t="inlineStr">
        <is>
          <t>Alternativa. Revertido sugammadex 16mg/kg urgente.</t>
        </is>
      </c>
    </row>
    <row r="12" ht="6" customHeight="1">
      <c r="A12" s="79" t="inlineStr"/>
    </row>
    <row r="13" ht="26" customHeight="1">
      <c r="A13" s="41" t="inlineStr">
        <is>
          <t>😌 Fentanil 50mcg/mL</t>
        </is>
      </c>
      <c r="B13" s="74" t="inlineStr">
        <is>
          <t>3 mL</t>
        </is>
      </c>
      <c r="C13" s="74" t="inlineStr">
        <is>
          <t>4 mL</t>
        </is>
      </c>
      <c r="D13" s="74" t="inlineStr">
        <is>
          <t>5 mL</t>
        </is>
      </c>
      <c r="E13" s="75" t="inlineStr">
        <is>
          <t>1–3mcg/kg | 1–2min</t>
        </is>
      </c>
      <c r="F13" s="76" t="inlineStr">
        <is>
          <t>⚠️ Fazer LENTO 30–60s. Pré-tratamento 3min antes. Risco rigidez torácica.</t>
        </is>
      </c>
    </row>
    <row r="14" ht="26" customHeight="1">
      <c r="A14" s="41" t="inlineStr">
        <is>
          <t>💊 Lidocaína 2%</t>
        </is>
      </c>
      <c r="B14" s="77" t="inlineStr">
        <is>
          <t>4 mL</t>
        </is>
      </c>
      <c r="C14" s="77" t="inlineStr">
        <is>
          <t>5 mL</t>
        </is>
      </c>
      <c r="D14" s="77" t="inlineStr">
        <is>
          <t>7 mL</t>
        </is>
      </c>
      <c r="E14" s="75" t="inlineStr">
        <is>
          <t>1,5mg/kg | pré-trat</t>
        </is>
      </c>
      <c r="F14" s="78" t="inlineStr">
        <is>
          <t>TCE/AVE (benefício discutível). ↓ reflexo laríngeo.</t>
        </is>
      </c>
    </row>
    <row r="16">
      <c r="A16" s="41" t="inlineStr">
        <is>
          <t>🗺️  ALGORITMO RSI POR CENÁRIO CLÍNICO</t>
        </is>
      </c>
      <c r="B16" s="4" t="n"/>
      <c r="C16" s="4" t="n"/>
      <c r="D16" s="5" t="n"/>
    </row>
    <row r="17">
      <c r="A17" s="3" t="inlineStr">
        <is>
          <t>Cenário</t>
        </is>
      </c>
      <c r="B17" s="3" t="inlineStr">
        <is>
          <t>Indução</t>
        </is>
      </c>
      <c r="C17" s="3" t="inlineStr">
        <is>
          <t>BNM</t>
        </is>
      </c>
      <c r="D17" s="3" t="inlineStr">
        <is>
          <t>⚠️ Alerta</t>
        </is>
      </c>
    </row>
    <row r="18" ht="26" customHeight="1">
      <c r="A18" s="26" t="inlineStr">
        <is>
          <t>Choque/Hipotenso</t>
        </is>
      </c>
      <c r="B18" s="30" t="inlineStr">
        <is>
          <t>Cetamina ou Etomidato</t>
        </is>
      </c>
      <c r="C18" s="30" t="inlineStr">
        <is>
          <t>Succinilcolina ou Rocurônio</t>
        </is>
      </c>
      <c r="D18" s="56" t="inlineStr">
        <is>
          <t>Reduzir dose de indução; vasopressor pronto</t>
        </is>
      </c>
    </row>
    <row r="19" ht="26" customHeight="1">
      <c r="A19" s="26" t="inlineStr">
        <is>
          <t>TCE / AVE</t>
        </is>
      </c>
      <c r="B19" s="44" t="inlineStr">
        <is>
          <t>Etomidato (Cetamina discutível)</t>
        </is>
      </c>
      <c r="C19" s="44" t="inlineStr">
        <is>
          <t>Rocurônio (revertível)</t>
        </is>
      </c>
      <c r="D19" s="56" t="inlineStr">
        <is>
          <t>Lidocaína pré controversa; manter PPC</t>
        </is>
      </c>
    </row>
    <row r="20" ht="26" customHeight="1">
      <c r="A20" s="26" t="inlineStr">
        <is>
          <t>Status epilepticus</t>
        </is>
      </c>
      <c r="B20" s="30" t="inlineStr">
        <is>
          <t>Propofol, Etomidato ou Midazolam</t>
        </is>
      </c>
      <c r="C20" s="30" t="inlineStr">
        <is>
          <t>Rocurônio</t>
        </is>
      </c>
      <c r="D20" s="56" t="inlineStr">
        <is>
          <t>⚠️ Evitar cetamina</t>
        </is>
      </c>
    </row>
    <row r="21" ht="26" customHeight="1">
      <c r="A21" s="26" t="inlineStr">
        <is>
          <t>Broncoespasmo</t>
        </is>
      </c>
      <c r="B21" s="44" t="inlineStr">
        <is>
          <t>Cetamina ou Propofol</t>
        </is>
      </c>
      <c r="C21" s="44" t="inlineStr">
        <is>
          <t>Succinilcolina (se K normal)</t>
        </is>
      </c>
      <c r="D21" s="56" t="inlineStr">
        <is>
          <t>Cetamina é broncodilatador</t>
        </is>
      </c>
    </row>
    <row r="22" ht="26" customHeight="1">
      <c r="A22" s="26" t="inlineStr">
        <is>
          <t>Doença coronariana grave</t>
        </is>
      </c>
      <c r="B22" s="30" t="inlineStr">
        <is>
          <t>Fentanil 3min → Etomidato</t>
        </is>
      </c>
      <c r="C22" s="30" t="inlineStr">
        <is>
          <t>Rocurônio</t>
        </is>
      </c>
      <c r="D22" s="56" t="inlineStr">
        <is>
          <t>⚠️ Evitar cetamina e propofol</t>
        </is>
      </c>
    </row>
    <row r="23" ht="26" customHeight="1">
      <c r="A23" s="26" t="inlineStr">
        <is>
          <t>Hipercalemia / Queimado</t>
        </is>
      </c>
      <c r="B23" s="44" t="inlineStr">
        <is>
          <t>Etomidato</t>
        </is>
      </c>
      <c r="C23" s="44" t="inlineStr">
        <is>
          <t>Rocurônio — ⛔CI succinilcolina!</t>
        </is>
      </c>
      <c r="D23" s="56" t="inlineStr">
        <is>
          <t>Succinilcolina: pCK fatal</t>
        </is>
      </c>
    </row>
    <row r="24" ht="26" customHeight="1">
      <c r="A24" s="26" t="inlineStr">
        <is>
          <t>Via aérea difícil</t>
        </is>
      </c>
      <c r="B24" s="30" t="inlineStr">
        <is>
          <t>Cetamina (mant. resp espontânea)</t>
        </is>
      </c>
      <c r="C24" s="30" t="inlineStr">
        <is>
          <t>Evitar BNM se possível</t>
        </is>
      </c>
      <c r="D24" s="56" t="inlineStr">
        <is>
          <t>Videolaringoscópio + bougie + ML rescue</t>
        </is>
      </c>
    </row>
    <row r="26">
      <c r="A26" s="49" t="inlineStr">
        <is>
          <t>🧰  KIT MATERIAIS INTUBAÇÃO</t>
        </is>
      </c>
      <c r="B26" s="4" t="n"/>
      <c r="C26" s="5" t="n"/>
    </row>
    <row r="27">
      <c r="A27" s="3" t="inlineStr">
        <is>
          <t>Material</t>
        </is>
      </c>
      <c r="B27" s="3" t="inlineStr">
        <is>
          <t>Qtde</t>
        </is>
      </c>
      <c r="C27" s="3" t="inlineStr">
        <is>
          <t>Observação</t>
        </is>
      </c>
    </row>
    <row r="28" ht="20" customHeight="1">
      <c r="A28" s="80" t="inlineStr">
        <is>
          <t>TOT 8.0</t>
        </is>
      </c>
      <c r="B28" s="81" t="inlineStr">
        <is>
          <t>1</t>
        </is>
      </c>
      <c r="C28" s="82" t="inlineStr">
        <is>
          <t>Homem padrão</t>
        </is>
      </c>
    </row>
    <row r="29" ht="20" customHeight="1">
      <c r="A29" s="83" t="inlineStr">
        <is>
          <t>TOT 7.5</t>
        </is>
      </c>
      <c r="B29" s="81" t="inlineStr">
        <is>
          <t>1</t>
        </is>
      </c>
      <c r="C29" s="84" t="inlineStr">
        <is>
          <t>Preferencial</t>
        </is>
      </c>
    </row>
    <row r="30" ht="20" customHeight="1">
      <c r="A30" s="80" t="inlineStr">
        <is>
          <t>TOT 7.0</t>
        </is>
      </c>
      <c r="B30" s="81" t="inlineStr">
        <is>
          <t>1</t>
        </is>
      </c>
      <c r="C30" s="82" t="inlineStr">
        <is>
          <t>Mulher/VA difícil</t>
        </is>
      </c>
    </row>
    <row r="31" ht="20" customHeight="1">
      <c r="A31" s="83" t="inlineStr">
        <is>
          <t>Bougie</t>
        </is>
      </c>
      <c r="B31" s="81" t="inlineStr">
        <is>
          <t>1</t>
        </is>
      </c>
      <c r="C31" s="84" t="inlineStr">
        <is>
          <t>Sempre disponível</t>
        </is>
      </c>
    </row>
    <row r="32" ht="20" customHeight="1">
      <c r="A32" s="80" t="inlineStr">
        <is>
          <t>Fio-guia</t>
        </is>
      </c>
      <c r="B32" s="81" t="inlineStr">
        <is>
          <t>1</t>
        </is>
      </c>
      <c r="C32" s="82" t="inlineStr">
        <is>
          <t>Deixar moldado</t>
        </is>
      </c>
    </row>
    <row r="33" ht="20" customHeight="1">
      <c r="A33" s="83" t="inlineStr">
        <is>
          <t>Cabo laringoscópio + lâm nº4</t>
        </is>
      </c>
      <c r="B33" s="81" t="inlineStr">
        <is>
          <t>1</t>
        </is>
      </c>
      <c r="C33" s="84" t="inlineStr">
        <is>
          <t>Verificar pilhas</t>
        </is>
      </c>
    </row>
    <row r="34" ht="20" customHeight="1">
      <c r="A34" s="80" t="inlineStr">
        <is>
          <t>Videolaringoscópio</t>
        </is>
      </c>
      <c r="B34" s="81" t="inlineStr">
        <is>
          <t>1</t>
        </is>
      </c>
      <c r="C34" s="82" t="inlineStr">
        <is>
          <t>VA difícil / previsto</t>
        </is>
      </c>
    </row>
    <row r="35" ht="20" customHeight="1">
      <c r="A35" s="83" t="inlineStr">
        <is>
          <t>Máscara laríngea</t>
        </is>
      </c>
      <c r="B35" s="81" t="inlineStr">
        <is>
          <t>1</t>
        </is>
      </c>
      <c r="C35" s="84" t="inlineStr">
        <is>
          <t>Rescue device</t>
        </is>
      </c>
    </row>
    <row r="36" ht="20" customHeight="1">
      <c r="A36" s="80" t="inlineStr">
        <is>
          <t>Abocath 14 (cricotireotomia)</t>
        </is>
      </c>
      <c r="B36" s="81" t="inlineStr">
        <is>
          <t>1</t>
        </is>
      </c>
      <c r="C36" s="82" t="inlineStr">
        <is>
          <t>Emergência VA</t>
        </is>
      </c>
    </row>
    <row r="37" ht="20" customHeight="1">
      <c r="A37" s="83" t="inlineStr">
        <is>
          <t>Capnógrafo colorimétrico</t>
        </is>
      </c>
      <c r="B37" s="81" t="inlineStr">
        <is>
          <t>1</t>
        </is>
      </c>
      <c r="C37" s="84" t="inlineStr">
        <is>
          <t>Gold standard posição TOT</t>
        </is>
      </c>
    </row>
    <row r="38" ht="20" customHeight="1">
      <c r="A38" s="80" t="inlineStr">
        <is>
          <t>Aspirador + sonda 12–14</t>
        </is>
      </c>
      <c r="B38" s="81" t="inlineStr">
        <is>
          <t>1</t>
        </is>
      </c>
      <c r="C38" s="82" t="inlineStr">
        <is>
          <t>Sempre ligado</t>
        </is>
      </c>
    </row>
    <row r="39" ht="20" customHeight="1">
      <c r="A39" s="83" t="inlineStr">
        <is>
          <t>BVM + máscara</t>
        </is>
      </c>
      <c r="B39" s="81" t="inlineStr">
        <is>
          <t>1</t>
        </is>
      </c>
      <c r="C39" s="84" t="inlineStr">
        <is>
          <t>Pré e pós-IOT</t>
        </is>
      </c>
    </row>
    <row r="40" ht="20" customHeight="1">
      <c r="A40" s="80" t="inlineStr">
        <is>
          <t>Seringa 20mL (testar cuff)</t>
        </is>
      </c>
      <c r="B40" s="81" t="inlineStr">
        <is>
          <t>1</t>
        </is>
      </c>
      <c r="C40" s="82" t="inlineStr">
        <is>
          <t>Antes de usar</t>
        </is>
      </c>
    </row>
  </sheetData>
  <mergeCells count="7">
    <mergeCell ref="A2:V2"/>
    <mergeCell ref="A1:V1"/>
    <mergeCell ref="A9:F9"/>
    <mergeCell ref="A12:F12"/>
    <mergeCell ref="A16:D16"/>
    <mergeCell ref="A3:F3"/>
    <mergeCell ref="A26:C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E123C"/>
    <outlinePr summaryBelow="1" summaryRight="1"/>
    <pageSetUpPr/>
  </sheetPr>
  <dimension ref="A1:V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8" customHeight="1">
      <c r="A1" s="1" t="inlineStr">
        <is>
          <t xml:space="preserve">  🏥  ARRITMIAS · AMIODARONA · QTc — PROTOCOLO UTI</t>
        </is>
      </c>
    </row>
    <row r="2" ht="16" customHeight="1">
      <c r="A2" s="2" t="inlineStr">
        <is>
          <t xml:space="preserve">  ⚙️  Calculadora QTc · protocolo FA/TV · antiarrítmicos  |  Dr. Aldenir Rocha · HRN &amp; Santa Casa Sobral-CE · v2026.1</t>
        </is>
      </c>
    </row>
    <row r="3">
      <c r="A3" s="73" t="inlineStr">
        <is>
          <t>🫀  CALCULADORA QTc — MÚLTIPLAS FÓRMULAS</t>
        </is>
      </c>
      <c r="B3" s="4" t="n"/>
      <c r="C3" s="4" t="n"/>
      <c r="D3" s="4" t="n"/>
      <c r="E3" s="4" t="n"/>
      <c r="F3" s="5" t="n"/>
    </row>
    <row r="4">
      <c r="A4" s="3" t="inlineStr">
        <is>
          <t>QT medido (ms)</t>
        </is>
      </c>
      <c r="B4" s="3" t="inlineStr">
        <is>
          <t>FC (bpm)</t>
        </is>
      </c>
      <c r="C4" s="3" t="inlineStr">
        <is>
          <t>RR (ms) — auto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</row>
    <row r="5">
      <c r="A5" s="25" t="n">
        <v>420</v>
      </c>
      <c r="B5" s="25" t="n">
        <v>75</v>
      </c>
      <c r="C5" s="61">
        <f>ROUND(60000/B5,0)</f>
        <v/>
      </c>
    </row>
    <row r="6">
      <c r="A6" s="43" t="inlineStr">
        <is>
          <t>📊  QTc por fórmula</t>
        </is>
      </c>
      <c r="B6" s="4" t="n"/>
      <c r="C6" s="4" t="n"/>
      <c r="D6" s="5" t="n"/>
    </row>
    <row r="7">
      <c r="A7" s="3" t="inlineStr">
        <is>
          <t>Fórmula</t>
        </is>
      </c>
      <c r="B7" s="3" t="inlineStr">
        <is>
          <t>QTc (ms)</t>
        </is>
      </c>
      <c r="C7" s="3" t="inlineStr">
        <is>
          <t>Indicação</t>
        </is>
      </c>
      <c r="D7" s="3" t="inlineStr">
        <is>
          <t>Interpretação</t>
        </is>
      </c>
    </row>
    <row r="8" ht="22" customHeight="1">
      <c r="A8" s="85" t="inlineStr">
        <is>
          <t>Bazett (FC 60–100)</t>
        </is>
      </c>
      <c r="B8" s="50">
        <f>ROUND(A5/SQRT(C5/1000),0)</f>
        <v/>
      </c>
      <c r="C8" s="30" t="inlineStr">
        <is>
          <t>Mais usada (FC 60–100)</t>
        </is>
      </c>
      <c r="D8" s="86">
        <f>IF(B8&gt;500,"🔴 QTc &gt; 500ms — RISCO TORSADES! Retirar agentes QT",IF(B8&gt;470,"⚠️ QTc 470–500ms — Prolongado — revisar fármacos","✅ QTc ≤ 470ms — Normal"))</f>
        <v/>
      </c>
    </row>
    <row r="9" ht="22" customHeight="1">
      <c r="A9" s="85" t="inlineStr">
        <is>
          <t>Fridericia (FC extremas)</t>
        </is>
      </c>
      <c r="B9" s="50">
        <f>ROUND(A5/(C5/1000)^(1/3),0)</f>
        <v/>
      </c>
      <c r="C9" s="44" t="inlineStr">
        <is>
          <t>Mais acurada em FC extremas</t>
        </is>
      </c>
      <c r="D9" s="86" t="inlineStr">
        <is>
          <t>↑ usar linha Bazett para alerta</t>
        </is>
      </c>
    </row>
    <row r="10" ht="22" customHeight="1">
      <c r="A10" s="85" t="inlineStr">
        <is>
          <t>Hodges (FC&lt;60 ou &gt;100)</t>
        </is>
      </c>
      <c r="B10" s="50">
        <f>ROUND(A5+1.75*(B5-60),0)</f>
        <v/>
      </c>
      <c r="C10" s="30" t="inlineStr">
        <is>
          <t>FC fora do normal</t>
        </is>
      </c>
      <c r="D10" s="86" t="inlineStr">
        <is>
          <t>↑ usar linha Bazett para alerta</t>
        </is>
      </c>
    </row>
    <row r="11" ht="22" customHeight="1">
      <c r="A11" s="85" t="inlineStr">
        <is>
          <t>Framingham (robusta)</t>
        </is>
      </c>
      <c r="B11" s="50">
        <f>ROUND(A5+154*(1-C5/1000),0)</f>
        <v/>
      </c>
      <c r="C11" s="44" t="inlineStr">
        <is>
          <t>Alternativa geral</t>
        </is>
      </c>
      <c r="D11" s="86" t="inlineStr">
        <is>
          <t>↑ usar linha Bazett para alerta</t>
        </is>
      </c>
    </row>
    <row r="14">
      <c r="A14" s="43" t="inlineStr">
        <is>
          <t>💊  AMIODARONA EV — PROTOCOLO FA/TV UTI</t>
        </is>
      </c>
      <c r="B14" s="4" t="n"/>
      <c r="C14" s="4" t="n"/>
      <c r="D14" s="4" t="n"/>
      <c r="E14" s="5" t="n"/>
    </row>
    <row r="15">
      <c r="A15" s="3" t="inlineStr">
        <is>
          <t>Fase</t>
        </is>
      </c>
      <c r="B15" s="3" t="inlineStr">
        <is>
          <t>Dose</t>
        </is>
      </c>
      <c r="C15" s="3" t="inlineStr">
        <is>
          <t>Velocidade</t>
        </is>
      </c>
      <c r="D15" s="3" t="inlineStr">
        <is>
          <t>Duração</t>
        </is>
      </c>
      <c r="E15" s="3" t="inlineStr">
        <is>
          <t>Observação</t>
        </is>
      </c>
    </row>
    <row r="16">
      <c r="A16" s="87" t="inlineStr">
        <is>
          <t>Diluição</t>
        </is>
      </c>
      <c r="B16" s="87" t="inlineStr">
        <is>
          <t>6 amp × 150mg = 900mg</t>
        </is>
      </c>
      <c r="C16" s="87" t="inlineStr">
        <is>
          <t>+222mL SF → 225mL total</t>
        </is>
      </c>
      <c r="D16" s="87" t="inlineStr">
        <is>
          <t>Conc: 3,75mg/mL</t>
        </is>
      </c>
      <c r="E16" s="87" t="inlineStr"/>
    </row>
    <row r="17" ht="22" customHeight="1">
      <c r="A17" s="26" t="inlineStr">
        <is>
          <t>1ª fase (Fase rápida)</t>
        </is>
      </c>
      <c r="B17" s="29" t="inlineStr">
        <is>
          <t>150 mg</t>
        </is>
      </c>
      <c r="C17" s="29" t="inlineStr">
        <is>
          <t>240 mL/h (da sol 3,75mg/mL)</t>
        </is>
      </c>
      <c r="D17" s="30" t="inlineStr">
        <is>
          <t>10 min</t>
        </is>
      </c>
      <c r="E17" s="30" t="inlineStr">
        <is>
          <t>Bolus rápido FA/TV instável</t>
        </is>
      </c>
    </row>
    <row r="18" ht="22" customHeight="1">
      <c r="A18" s="26" t="inlineStr">
        <is>
          <t>2ª fase (manutenção 1)</t>
        </is>
      </c>
      <c r="B18" s="29" t="inlineStr">
        <is>
          <t>60 mg/h = 1mg/min</t>
        </is>
      </c>
      <c r="C18" s="29" t="inlineStr">
        <is>
          <t>16 mL/h</t>
        </is>
      </c>
      <c r="D18" s="44" t="inlineStr">
        <is>
          <t>6 horas</t>
        </is>
      </c>
      <c r="E18" s="44" t="inlineStr">
        <is>
          <t>Manutenção precoce</t>
        </is>
      </c>
    </row>
    <row r="19" ht="22" customHeight="1">
      <c r="A19" s="26" t="inlineStr">
        <is>
          <t>3ª fase (manutenção 2)</t>
        </is>
      </c>
      <c r="B19" s="29" t="inlineStr">
        <is>
          <t>30 mg/h = 0,5mg/min</t>
        </is>
      </c>
      <c r="C19" s="29" t="inlineStr">
        <is>
          <t>8 mL/h</t>
        </is>
      </c>
      <c r="D19" s="30" t="inlineStr">
        <is>
          <t>18 horas</t>
        </is>
      </c>
      <c r="E19" s="30" t="inlineStr">
        <is>
          <t>Depois passar para VO</t>
        </is>
      </c>
    </row>
    <row r="22">
      <c r="A22" s="41" t="inlineStr">
        <is>
          <t>🗺️  ALGORITMO FA/TV EM UTI</t>
        </is>
      </c>
      <c r="B22" s="4" t="n"/>
      <c r="C22" s="4" t="n"/>
      <c r="D22" s="4" t="n"/>
      <c r="E22" s="5" t="n"/>
    </row>
    <row r="23">
      <c r="A23" s="3" t="inlineStr">
        <is>
          <t>Situação</t>
        </is>
      </c>
      <c r="B23" s="3" t="inlineStr">
        <is>
          <t>1ª escolha</t>
        </is>
      </c>
      <c r="C23" s="3" t="inlineStr">
        <is>
          <t>Alternativa</t>
        </is>
      </c>
      <c r="D23" s="3" t="inlineStr">
        <is>
          <t>CI principal</t>
        </is>
      </c>
      <c r="E23" s="3" t="inlineStr">
        <is>
          <t>Observação</t>
        </is>
      </c>
    </row>
    <row r="24" ht="24" customHeight="1">
      <c r="A24" s="68" t="inlineStr">
        <is>
          <t>FA c/ instabilidade hemodinâmica</t>
        </is>
      </c>
      <c r="B24" s="29" t="inlineStr">
        <is>
          <t>CVE sincronizada</t>
        </is>
      </c>
      <c r="C24" s="30" t="inlineStr">
        <is>
          <t>Amiodarona se FA rápida</t>
        </is>
      </c>
      <c r="D24" s="30" t="inlineStr">
        <is>
          <t>Digoxina em instabilidade</t>
        </is>
      </c>
      <c r="E24" s="30" t="inlineStr">
        <is>
          <t>PAM&lt;65 ou IC aguda → CVE</t>
        </is>
      </c>
    </row>
    <row r="25" ht="24" customHeight="1">
      <c r="A25" s="68" t="inlineStr">
        <is>
          <t>FA normotenso com alta RV</t>
        </is>
      </c>
      <c r="B25" s="29" t="inlineStr">
        <is>
          <t>Diltiazem ou beta-bloqueador</t>
        </is>
      </c>
      <c r="C25" s="44" t="inlineStr">
        <is>
          <t>Amiodarona</t>
        </is>
      </c>
      <c r="D25" s="44" t="inlineStr">
        <is>
          <t>Cuidado em FEVE &lt;40%</t>
        </is>
      </c>
      <c r="E25" s="44" t="inlineStr">
        <is>
          <t>Digoxina: ação lenta, útil em IC</t>
        </is>
      </c>
    </row>
    <row r="26" ht="24" customHeight="1">
      <c r="A26" s="68" t="inlineStr">
        <is>
          <t>TV monomórfica estável</t>
        </is>
      </c>
      <c r="B26" s="29" t="inlineStr">
        <is>
          <t>Amiodarona ou Procainamida</t>
        </is>
      </c>
      <c r="C26" s="30" t="inlineStr">
        <is>
          <t>Lidocaína</t>
        </is>
      </c>
      <c r="D26" s="30" t="inlineStr">
        <is>
          <t>Sotalol se IRA</t>
        </is>
      </c>
      <c r="E26" s="30" t="inlineStr">
        <is>
          <t>Monitorar QT</t>
        </is>
      </c>
    </row>
    <row r="27" ht="24" customHeight="1">
      <c r="A27" s="68" t="inlineStr">
        <is>
          <t>TV polimórfica/Torsades</t>
        </is>
      </c>
      <c r="B27" s="29" t="inlineStr">
        <is>
          <t>Suspender agentes QT + MgSO4 2g IV</t>
        </is>
      </c>
      <c r="C27" s="44" t="inlineStr">
        <is>
          <t>Overdrive pacing</t>
        </is>
      </c>
      <c r="D27" s="44" t="inlineStr">
        <is>
          <t>—</t>
        </is>
      </c>
      <c r="E27" s="44" t="inlineStr">
        <is>
          <t>Tratar QTc &gt; 500ms</t>
        </is>
      </c>
    </row>
    <row r="28" ht="24" customHeight="1">
      <c r="A28" s="68" t="inlineStr">
        <is>
          <t>FA hipotenso sem IC</t>
        </is>
      </c>
      <c r="B28" s="29" t="inlineStr">
        <is>
          <t>Digital IV</t>
        </is>
      </c>
      <c r="C28" s="30" t="inlineStr">
        <is>
          <t>Amiodarona</t>
        </is>
      </c>
      <c r="D28" s="30" t="inlineStr">
        <is>
          <t>Diltiazem/betabloq</t>
        </is>
      </c>
      <c r="E28" s="30" t="inlineStr">
        <is>
          <t>Freq control primeiro</t>
        </is>
      </c>
    </row>
    <row r="29" ht="24" customHeight="1">
      <c r="A29" s="68" t="inlineStr">
        <is>
          <t>Fibrilação ventricular</t>
        </is>
      </c>
      <c r="B29" s="29" t="inlineStr">
        <is>
          <t>CPR + desfibrilação imediata</t>
        </is>
      </c>
      <c r="C29" s="44" t="inlineStr">
        <is>
          <t>Amiodarona 300mg IV</t>
        </is>
      </c>
      <c r="D29" s="44" t="inlineStr">
        <is>
          <t>—</t>
        </is>
      </c>
      <c r="E29" s="44" t="inlineStr">
        <is>
          <t>ACLS 2020</t>
        </is>
      </c>
    </row>
  </sheetData>
  <mergeCells count="10">
    <mergeCell ref="A2:V2"/>
    <mergeCell ref="D11:F11"/>
    <mergeCell ref="A6:D6"/>
    <mergeCell ref="A1:V1"/>
    <mergeCell ref="D9:F9"/>
    <mergeCell ref="A14:E14"/>
    <mergeCell ref="A3:F3"/>
    <mergeCell ref="D8:F8"/>
    <mergeCell ref="A22:E22"/>
    <mergeCell ref="D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D9488"/>
    <outlinePr summaryBelow="1" summaryRight="1"/>
    <pageSetUpPr/>
  </sheetPr>
  <dimension ref="A1:V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52" customWidth="1" min="4" max="4"/>
  </cols>
  <sheetData>
    <row r="1" ht="28" customHeight="1">
      <c r="A1" s="1" t="inlineStr">
        <is>
          <t xml:space="preserve">  🏥  SAPS 3 — CALCULADORA INTERATIVA</t>
        </is>
      </c>
    </row>
    <row r="2" ht="16" customHeight="1">
      <c r="A2" s="2" t="inlineStr">
        <is>
          <t xml:space="preserve">  ⚙️  Mortalidade hospitalar estimada | Moreno et al 2005 | MDCalc 2026  |  Dr. Aldenir Rocha · HRN &amp; Santa Casa Sobral-CE · v2026.1</t>
        </is>
      </c>
    </row>
    <row r="3">
      <c r="A3" s="49" t="inlineStr">
        <is>
          <t>📋  COMPONENTES SAPS 3 — PREENCHA OS CAMPOS AMARELOS</t>
        </is>
      </c>
      <c r="B3" s="4" t="n"/>
      <c r="C3" s="4" t="n"/>
      <c r="D3" s="5" t="n"/>
    </row>
    <row r="4">
      <c r="A4" s="88" t="inlineStr">
        <is>
          <t>BLOCO I — ANTES DA ADMISSÃO NA UTI (0–17 pts)</t>
        </is>
      </c>
      <c r="B4" s="4" t="n"/>
      <c r="C4" s="4" t="n"/>
      <c r="D4" s="5" t="n"/>
    </row>
    <row r="5">
      <c r="A5" s="3" t="inlineStr">
        <is>
          <t>Variável</t>
        </is>
      </c>
      <c r="B5" s="3" t="inlineStr">
        <is>
          <t>Valor</t>
        </is>
      </c>
      <c r="C5" s="3" t="inlineStr">
        <is>
          <t>Pontos</t>
        </is>
      </c>
      <c r="D5" s="3" t="inlineStr">
        <is>
          <t>Referência / opções</t>
        </is>
      </c>
    </row>
    <row r="6" ht="22" customHeight="1">
      <c r="A6" s="3" t="inlineStr">
        <is>
          <t>Tempo pré-UTI (horas)</t>
        </is>
      </c>
      <c r="B6" s="25" t="n">
        <v>0</v>
      </c>
      <c r="C6" s="26" t="inlineStr">
        <is>
          <t>0–7</t>
        </is>
      </c>
      <c r="D6" s="89" t="inlineStr">
        <is>
          <t>&lt;14h =+5 | 14–27h =+3 | ≥28h =0</t>
        </is>
      </c>
    </row>
    <row r="7" ht="22" customHeight="1">
      <c r="A7" s="3" t="inlineStr">
        <is>
          <t>Origem admissão</t>
        </is>
      </c>
      <c r="B7" s="25" t="n">
        <v>0</v>
      </c>
      <c r="C7" s="26" t="inlineStr">
        <is>
          <t>0–8</t>
        </is>
      </c>
      <c r="D7" s="90" t="inlineStr">
        <is>
          <t>Emerg/PS=+6 | Outra UTI=+5 | Enfermaria=+3 | CC eletivo=+0 | CC emerg=+8</t>
        </is>
      </c>
    </row>
    <row r="8" ht="22" customHeight="1">
      <c r="A8" s="3" t="inlineStr">
        <is>
          <t>Cirurgia (antes UTI)</t>
        </is>
      </c>
      <c r="B8" s="25" t="n">
        <v>0</v>
      </c>
      <c r="C8" s="26" t="inlineStr">
        <is>
          <t>0–3</t>
        </is>
      </c>
      <c r="D8" s="89" t="inlineStr">
        <is>
          <t>Cirurgia eletiva=0 | Urgência=+3 | Sem cirurgia=0</t>
        </is>
      </c>
    </row>
    <row r="9" ht="22" customHeight="1">
      <c r="A9" s="3" t="inlineStr">
        <is>
          <t>Doença de base</t>
        </is>
      </c>
      <c r="B9" s="25" t="n">
        <v>0</v>
      </c>
      <c r="C9" s="26" t="inlineStr">
        <is>
          <t>0–7</t>
        </is>
      </c>
      <c r="D9" s="90" t="inlineStr">
        <is>
          <t>Neoplasia com meta=+7 | Neoplasia hema=+5 | AIDS=+5 | Falência hepática=+5 | IC grave=+4 | DPOC=+4 | Outros=0</t>
        </is>
      </c>
    </row>
    <row r="10" ht="22" customHeight="1">
      <c r="A10" s="3" t="inlineStr">
        <is>
          <t>Infecção hospitalar na admissão</t>
        </is>
      </c>
      <c r="B10" s="25" t="n">
        <v>0</v>
      </c>
      <c r="C10" s="26" t="inlineStr">
        <is>
          <t>0–5</t>
        </is>
      </c>
      <c r="D10" s="89" t="inlineStr">
        <is>
          <t>Infecção hospitalar=+5 | Comunitária/não infecciosa=0</t>
        </is>
      </c>
    </row>
    <row r="12">
      <c r="A12" s="88" t="inlineStr">
        <is>
          <t>BLOCO II — FISIOLOGIA NA ADMISSÃO NA UTI (0–67 pts)</t>
        </is>
      </c>
      <c r="B12" s="4" t="n"/>
      <c r="C12" s="4" t="n"/>
      <c r="D12" s="5" t="n"/>
    </row>
    <row r="13">
      <c r="A13" s="3" t="inlineStr">
        <is>
          <t>Variável</t>
        </is>
      </c>
      <c r="B13" s="3" t="inlineStr">
        <is>
          <t>Valor (número)</t>
        </is>
      </c>
      <c r="C13" s="3" t="inlineStr">
        <is>
          <t>Pontos</t>
        </is>
      </c>
      <c r="D13" s="3" t="inlineStr">
        <is>
          <t>Faixa / referência</t>
        </is>
      </c>
    </row>
    <row r="14" ht="22" customHeight="1">
      <c r="A14" s="3" t="inlineStr">
        <is>
          <t>Temperatura axilar (°C)</t>
        </is>
      </c>
      <c r="B14" s="25" t="n">
        <v>36</v>
      </c>
      <c r="C14" s="26" t="inlineStr">
        <is>
          <t>0–4</t>
        </is>
      </c>
      <c r="D14" s="89" t="inlineStr">
        <is>
          <t>&lt;35=+4 | ≥40=+3 | demais=0</t>
        </is>
      </c>
    </row>
    <row r="15" ht="22" customHeight="1">
      <c r="A15" s="3" t="inlineStr">
        <is>
          <t>PA sistólica mmHg</t>
        </is>
      </c>
      <c r="B15" s="25" t="n">
        <v>120</v>
      </c>
      <c r="C15" s="26" t="inlineStr">
        <is>
          <t>0–14</t>
        </is>
      </c>
      <c r="D15" s="90" t="inlineStr">
        <is>
          <t>&lt;40=+14 | 40–59=+13 | 60–69=+12 | 70–79=+9 | 80–99=+6 | 100–139=0 | 140–159=+4 | ≥160=+7</t>
        </is>
      </c>
    </row>
    <row r="16" ht="22" customHeight="1">
      <c r="A16" s="3" t="inlineStr">
        <is>
          <t>FC (bpm)</t>
        </is>
      </c>
      <c r="B16" s="25" t="n">
        <v>80</v>
      </c>
      <c r="C16" s="26" t="inlineStr">
        <is>
          <t>0–7</t>
        </is>
      </c>
      <c r="D16" s="89" t="inlineStr">
        <is>
          <t>≥160=+7 | 120–159=+5 | &lt;40=+5 | 40–59=+4 | demais=0</t>
        </is>
      </c>
    </row>
    <row r="17" ht="22" customHeight="1">
      <c r="A17" s="3" t="inlineStr">
        <is>
          <t>Oxigenação — PaO2/FiO2</t>
        </is>
      </c>
      <c r="B17" s="25" t="n">
        <v>300</v>
      </c>
      <c r="C17" s="26" t="inlineStr">
        <is>
          <t>0–11</t>
        </is>
      </c>
      <c r="D17" s="90" t="inlineStr">
        <is>
          <t>Sem VM: &lt;100=+11 | 100–199=+7 | Sem VM:PaO2&lt;55=+5 | demais=0</t>
        </is>
      </c>
    </row>
    <row r="18" ht="22" customHeight="1">
      <c r="A18" s="3" t="inlineStr">
        <is>
          <t>pH arterial</t>
        </is>
      </c>
      <c r="B18" s="25" t="inlineStr">
        <is>
          <t>7,38</t>
        </is>
      </c>
      <c r="C18" s="26" t="inlineStr">
        <is>
          <t>0–7</t>
        </is>
      </c>
      <c r="D18" s="89" t="inlineStr">
        <is>
          <t>&lt;7,0=+7 | 7,0–7,24=+6 | demais=0</t>
        </is>
      </c>
    </row>
    <row r="19" ht="22" customHeight="1">
      <c r="A19" s="3" t="inlineStr">
        <is>
          <t>Sódio sérico (mEq/L)</t>
        </is>
      </c>
      <c r="B19" s="25" t="n">
        <v>140</v>
      </c>
      <c r="C19" s="26" t="inlineStr">
        <is>
          <t>0–7</t>
        </is>
      </c>
      <c r="D19" s="90" t="inlineStr">
        <is>
          <t>&lt;100=+7 | demais=0 (raro)</t>
        </is>
      </c>
    </row>
    <row r="20" ht="22" customHeight="1">
      <c r="A20" s="3" t="inlineStr">
        <is>
          <t>Creatinina (mg/dL)</t>
        </is>
      </c>
      <c r="B20" s="25" t="inlineStr">
        <is>
          <t>1,2</t>
        </is>
      </c>
      <c r="C20" s="26" t="inlineStr">
        <is>
          <t>0–7</t>
        </is>
      </c>
      <c r="D20" s="89" t="inlineStr">
        <is>
          <t>&lt;0,5=+7 | ≥3,5=+7 | 1,5–3,4=+4 | demais=0</t>
        </is>
      </c>
    </row>
    <row r="21" ht="22" customHeight="1">
      <c r="A21" s="3" t="inlineStr">
        <is>
          <t>Bilirrubina total (mg/dL)</t>
        </is>
      </c>
      <c r="B21" s="25" t="inlineStr">
        <is>
          <t>1,0</t>
        </is>
      </c>
      <c r="C21" s="26" t="inlineStr">
        <is>
          <t>0–5</t>
        </is>
      </c>
      <c r="D21" s="90" t="inlineStr">
        <is>
          <t>≥6,0=+5 | 4,0–5,9=+4 | demais=0</t>
        </is>
      </c>
    </row>
    <row r="22" ht="22" customHeight="1">
      <c r="A22" s="3" t="inlineStr">
        <is>
          <t>Leucócitos (×10³/mm³)</t>
        </is>
      </c>
      <c r="B22" s="25" t="n">
        <v>8</v>
      </c>
      <c r="C22" s="26" t="inlineStr">
        <is>
          <t>0–5</t>
        </is>
      </c>
      <c r="D22" s="89" t="inlineStr">
        <is>
          <t>&lt;1=+5 | ≥20=+3 | demais=0</t>
        </is>
      </c>
    </row>
    <row r="23" ht="22" customHeight="1">
      <c r="A23" s="3" t="inlineStr">
        <is>
          <t>Plaquetas (×10³/mm³)</t>
        </is>
      </c>
      <c r="B23" s="25" t="n">
        <v>180</v>
      </c>
      <c r="C23" s="26" t="inlineStr">
        <is>
          <t>0–4</t>
        </is>
      </c>
      <c r="D23" s="90" t="inlineStr">
        <is>
          <t>&lt;50=+4 | 50–99=+3 | demais=0</t>
        </is>
      </c>
    </row>
    <row r="24" ht="22" customHeight="1">
      <c r="A24" s="3" t="inlineStr">
        <is>
          <t>Glasgow Coma Scale</t>
        </is>
      </c>
      <c r="B24" s="25" t="n">
        <v>13</v>
      </c>
      <c r="C24" s="26" t="inlineStr">
        <is>
          <t>0–16</t>
        </is>
      </c>
      <c r="D24" s="89" t="inlineStr">
        <is>
          <t>3=+16 | 4–5=+13 | 6=+11 | 7–8=+7 | 9–10=+5 | 11–12=+4 | 13–14=+3 | 15=0</t>
        </is>
      </c>
    </row>
    <row r="25" ht="22" customHeight="1">
      <c r="A25" s="3" t="inlineStr">
        <is>
          <t>Bilirrubina → preencher acima</t>
        </is>
      </c>
      <c r="B25" s="91" t="inlineStr">
        <is>
          <t>↑ preencher acima</t>
        </is>
      </c>
      <c r="C25" s="26" t="inlineStr">
        <is>
          <t>(auto)</t>
        </is>
      </c>
      <c r="D25" s="90" t="inlineStr">
        <is>
          <t>Score calculado pelo campo manual B2 acima</t>
        </is>
      </c>
    </row>
    <row r="27">
      <c r="A27" s="41" t="inlineStr">
        <is>
          <t>🎯  PONTUAÇÃO TOTAL E MORTALIDADE ESTIMADA</t>
        </is>
      </c>
      <c r="B27" s="4" t="n"/>
      <c r="C27" s="4" t="n"/>
      <c r="D27" s="5" t="n"/>
    </row>
    <row r="28">
      <c r="A28" s="3" t="inlineStr">
        <is>
          <t>SOMA TOTAL SAPS 3 (inserir manualmente)</t>
        </is>
      </c>
      <c r="B28" s="25" t="n">
        <v>40</v>
      </c>
    </row>
    <row r="29">
      <c r="A29" s="3" t="inlineStr">
        <is>
          <t>Mortalidade estimada global (%)</t>
        </is>
      </c>
      <c r="B29" s="50">
        <f>ROUND(1/(1+EXP(-(-32.6659+0.6569*B28)))*100,1)</f>
        <v/>
      </c>
    </row>
    <row r="30">
      <c r="A30" s="3" t="inlineStr">
        <is>
          <t>Mortalidade estimada Europa Central (%)</t>
        </is>
      </c>
      <c r="B30" s="52">
        <f>ROUND(1/(1+EXP(-(-36.4978+0.7011*B28)))*100,1)</f>
        <v/>
      </c>
    </row>
    <row r="31" ht="30" customHeight="1">
      <c r="A31" s="54">
        <f>IF(B29&lt;20,"🟢 Baixo risco (&lt;20%)",IF(B29&lt;40,"🟡 Risco moderado (20–40%)",IF(B29&lt;60,"🟠 Risco alto (40–60%)","🔴 Risco muito alto (&gt;60%) — considerar proporcionalidade")))</f>
        <v/>
      </c>
    </row>
    <row r="32" ht="22" customHeight="1">
      <c r="A32" s="92" t="inlineStr">
        <is>
          <t>⚠️  SAPS 3 é escore prognóstico — NÃO substitui julgamento clínico. Calibração regional varia. Ref: Moreno RP et al. Intensive Care Med 2005;31:1336. MDCalc 2026.</t>
        </is>
      </c>
      <c r="B32" s="4" t="n"/>
      <c r="C32" s="4" t="n"/>
      <c r="D32" s="5" t="n"/>
    </row>
  </sheetData>
  <mergeCells count="8">
    <mergeCell ref="A2:V2"/>
    <mergeCell ref="A27:D27"/>
    <mergeCell ref="A31:D31"/>
    <mergeCell ref="A12:D12"/>
    <mergeCell ref="A1:V1"/>
    <mergeCell ref="A4:D4"/>
    <mergeCell ref="A3:D3"/>
    <mergeCell ref="A32:D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C3AED"/>
    <outlinePr summaryBelow="1" summaryRight="1"/>
    <pageSetUpPr/>
  </sheetPr>
  <dimension ref="A1:V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28" customWidth="1" min="4" max="4"/>
    <col width="22" customWidth="1" min="5" max="5"/>
    <col width="28" customWidth="1" min="6" max="6"/>
    <col width="12" customWidth="1" min="7" max="7"/>
  </cols>
  <sheetData>
    <row r="1" ht="28" customHeight="1">
      <c r="A1" s="1" t="inlineStr">
        <is>
          <t xml:space="preserve">  🏥  SEPSE / CHOQUE 2026 — SSC 2021</t>
        </is>
      </c>
    </row>
    <row r="2" ht="16" customHeight="1">
      <c r="A2" s="2" t="inlineStr">
        <is>
          <t xml:space="preserve">  ⚙️  Tempo-ação · fluidos · vasopressores · algoritmo indiferenciado  |  Dr. Aldenir Rocha · HRN &amp; Santa Casa Sobral-CE · v2026.1</t>
        </is>
      </c>
    </row>
    <row r="3">
      <c r="A3" s="57" t="inlineStr">
        <is>
          <t>⏱️  PROTOCOLO TEMPO-AÇÃO — SEPSE/CHOQUE (SSC 2021 vigente 2026)</t>
        </is>
      </c>
      <c r="B3" s="4" t="n"/>
      <c r="C3" s="4" t="n"/>
      <c r="D3" s="4" t="n"/>
      <c r="E3" s="4" t="n"/>
      <c r="F3" s="4" t="n"/>
      <c r="G3" s="5" t="n"/>
    </row>
    <row r="4">
      <c r="A4" s="3" t="inlineStr">
        <is>
          <t>Tempo</t>
        </is>
      </c>
      <c r="B4" s="3" t="inlineStr">
        <is>
          <t>Ação</t>
        </is>
      </c>
      <c r="C4" s="3" t="inlineStr">
        <is>
          <t>Detalhe</t>
        </is>
      </c>
      <c r="D4" s="3" t="inlineStr">
        <is>
          <t>Meta/Alarme</t>
        </is>
      </c>
      <c r="E4" s="3" t="inlineStr">
        <is>
          <t>Evitar</t>
        </is>
      </c>
      <c r="F4" s="3" t="inlineStr">
        <is>
          <t>Observação</t>
        </is>
      </c>
      <c r="G4" s="3" t="inlineStr">
        <is>
          <t>Fonte</t>
        </is>
      </c>
    </row>
    <row r="5" ht="28" customHeight="1">
      <c r="A5" s="59" t="inlineStr">
        <is>
          <t>0–10 min</t>
        </is>
      </c>
      <c r="B5" s="30" t="inlineStr">
        <is>
          <t>Reconhecer + monitorar</t>
        </is>
      </c>
      <c r="C5" s="30" t="inlineStr">
        <is>
          <t>PAM&lt;65, lactato, oligúria, pele moteada, SNC</t>
        </is>
      </c>
      <c r="D5" s="30" t="inlineStr">
        <is>
          <t>PAM ≥65; lactato seriado</t>
        </is>
      </c>
      <c r="E5" s="30" t="inlineStr">
        <is>
          <t>Atrasar DVA se choque profundo</t>
        </is>
      </c>
      <c r="F5" s="30" t="inlineStr">
        <is>
          <t>NE periférica como ponte curta</t>
        </is>
      </c>
      <c r="G5" s="72" t="inlineStr">
        <is>
          <t>SSC 2021</t>
        </is>
      </c>
    </row>
    <row r="6" ht="28" customHeight="1">
      <c r="A6" s="59" t="inlineStr">
        <is>
          <t>0–60 min</t>
        </is>
      </c>
      <c r="B6" s="44" t="inlineStr">
        <is>
          <t>Culturas + ATB</t>
        </is>
      </c>
      <c r="C6" s="44" t="inlineStr">
        <is>
          <t>Hemocultura (não atrasar ATB); ATB precoce em choque</t>
        </is>
      </c>
      <c r="D6" s="44" t="inlineStr">
        <is>
          <t>ATB no 1h se choque</t>
        </is>
      </c>
      <c r="E6" s="44" t="inlineStr">
        <is>
          <t>ATB empírico sem reavaliação</t>
        </is>
      </c>
      <c r="F6" s="44" t="inlineStr">
        <is>
          <t>Considerar foco, MDR, função renal</t>
        </is>
      </c>
      <c r="G6" s="72" t="inlineStr">
        <is>
          <t>SSC 2021</t>
        </is>
      </c>
    </row>
    <row r="7" ht="28" customHeight="1">
      <c r="A7" s="59" t="inlineStr">
        <is>
          <t>0–3h</t>
        </is>
      </c>
      <c r="B7" s="30" t="inlineStr">
        <is>
          <t>Fluido inicial</t>
        </is>
      </c>
      <c r="C7" s="30" t="inlineStr">
        <is>
          <t>Cristaloide 250–500mL bolus; reavaliar resposta</t>
        </is>
      </c>
      <c r="D7" s="30" t="inlineStr">
        <is>
          <t>PLR/VPP/eco/lactato/TEC</t>
        </is>
      </c>
      <c r="E7" s="30" t="inlineStr">
        <is>
          <t>SF 0,9% excessivo; 30mL/kg automático</t>
        </is>
      </c>
      <c r="F7" s="30" t="inlineStr">
        <is>
          <t>Balanceado preferido quando disponível</t>
        </is>
      </c>
      <c r="G7" s="72" t="inlineStr">
        <is>
          <t>SSC 2021</t>
        </is>
      </c>
    </row>
    <row r="8" ht="28" customHeight="1">
      <c r="A8" s="59" t="inlineStr">
        <is>
          <t>Choque persist.</t>
        </is>
      </c>
      <c r="B8" s="44" t="inlineStr">
        <is>
          <t>Noradrenalina 1ª linha</t>
        </is>
      </c>
      <c r="C8" s="44" t="inlineStr">
        <is>
          <t>Titular para PAM; adicionar vasopressina 0,03 UI/min se NE alta</t>
        </is>
      </c>
      <c r="D8" s="44" t="inlineStr">
        <is>
          <t>PAM ≥65 individualizado</t>
        </is>
      </c>
      <c r="E8" s="44" t="inlineStr">
        <is>
          <t>Dopamina salvo exceções</t>
        </is>
      </c>
      <c r="F8" s="44" t="inlineStr">
        <is>
          <t>Adrenalina se refratário; dobutamina se baixo DC</t>
        </is>
      </c>
      <c r="G8" s="72" t="inlineStr">
        <is>
          <t>SSC 2021</t>
        </is>
      </c>
    </row>
    <row r="9" ht="28" customHeight="1">
      <c r="A9" s="59" t="inlineStr">
        <is>
          <t>Refratário</t>
        </is>
      </c>
      <c r="B9" s="30" t="inlineStr">
        <is>
          <t>Corticoide adj.</t>
        </is>
      </c>
      <c r="C9" s="30" t="inlineStr">
        <is>
          <t>Hidrocortisona 200mg/dia se choque persistente com vasopressores</t>
        </is>
      </c>
      <c r="D9" s="30" t="inlineStr">
        <is>
          <t>Reduzir tempo de choque</t>
        </is>
      </c>
      <c r="E9" s="30" t="inlineStr">
        <is>
          <t>Usar em sepse sem choque</t>
        </is>
      </c>
      <c r="F9" s="30" t="inlineStr">
        <is>
          <t>Monitorar glicemia e infecção</t>
        </is>
      </c>
      <c r="G9" s="72" t="inlineStr">
        <is>
          <t>SSC 2021</t>
        </is>
      </c>
    </row>
    <row r="10" ht="28" customHeight="1">
      <c r="A10" s="59" t="inlineStr">
        <is>
          <t>Qualquer</t>
        </is>
      </c>
      <c r="B10" s="44" t="inlineStr">
        <is>
          <t>Controle de foco</t>
        </is>
      </c>
      <c r="C10" s="44" t="inlineStr">
        <is>
          <t>Drenar abscesso; retirar CVC infectado; cirurgia se indicado</t>
        </is>
      </c>
      <c r="D10" s="44" t="inlineStr">
        <is>
          <t>O mais precocemente possível</t>
        </is>
      </c>
      <c r="E10" s="44" t="inlineStr">
        <is>
          <t>ATB sem controle de foco</t>
        </is>
      </c>
      <c r="F10" s="44" t="inlineStr">
        <is>
          <t>Chamar cirurgia/uro/radio intervencionista cedo</t>
        </is>
      </c>
      <c r="G10" s="72" t="inlineStr">
        <is>
          <t>SSC 2021</t>
        </is>
      </c>
    </row>
    <row r="11" ht="28" customHeight="1">
      <c r="A11" s="59" t="inlineStr">
        <is>
          <t>Reavaliação 48–72h</t>
        </is>
      </c>
      <c r="B11" s="30" t="inlineStr">
        <is>
          <t>De-escalonamento</t>
        </is>
      </c>
      <c r="C11" s="30" t="inlineStr">
        <is>
          <t>PCT + culturas + clínica + duração curta</t>
        </is>
      </c>
      <c r="D11" s="30" t="inlineStr">
        <is>
          <t>Menor exposição eficaz</t>
        </is>
      </c>
      <c r="E11" s="30" t="inlineStr">
        <is>
          <t>ATB prolongado sem motivo</t>
        </is>
      </c>
      <c r="F11" s="30" t="inlineStr">
        <is>
          <t>Stewardship antimicrobiano</t>
        </is>
      </c>
      <c r="G11" s="72" t="inlineStr">
        <is>
          <t>SSC 2021</t>
        </is>
      </c>
    </row>
    <row r="14">
      <c r="A14" s="41" t="inlineStr">
        <is>
          <t>🗺️  ALGORITMO CHOQUE INDIFERENCIADO — POCUS GUIADO</t>
        </is>
      </c>
      <c r="B14" s="4" t="n"/>
      <c r="C14" s="4" t="n"/>
      <c r="D14" s="4" t="n"/>
      <c r="E14" s="4" t="n"/>
      <c r="F14" s="5" t="n"/>
    </row>
    <row r="15">
      <c r="A15" s="3" t="inlineStr">
        <is>
          <t>Passo</t>
        </is>
      </c>
      <c r="B15" s="3" t="inlineStr">
        <is>
          <t>Choque?</t>
        </is>
      </c>
      <c r="C15" s="3" t="inlineStr">
        <is>
          <t>Tipo</t>
        </is>
      </c>
      <c r="D15" s="3" t="inlineStr">
        <is>
          <t>Conduta inicial</t>
        </is>
      </c>
      <c r="E15" s="3" t="inlineStr">
        <is>
          <t>Vasopressor</t>
        </is>
      </c>
      <c r="F15" s="3" t="inlineStr">
        <is>
          <t>Considerar</t>
        </is>
      </c>
    </row>
    <row r="16" ht="28" customHeight="1">
      <c r="A16" s="43" t="inlineStr">
        <is>
          <t>1</t>
        </is>
      </c>
      <c r="B16" s="30" t="inlineStr">
        <is>
          <t>PAM&lt;65, lactato alto, pele fria, oligúria</t>
        </is>
      </c>
      <c r="C16" s="93" t="inlineStr">
        <is>
          <t>Indiferenciado</t>
        </is>
      </c>
      <c r="D16" s="30" t="inlineStr">
        <is>
          <t>Monitor + acesso + lactato + gasometria + POCUS</t>
        </is>
      </c>
      <c r="E16" s="30" t="inlineStr">
        <is>
          <t>NE se PAM&lt;65 enquanto avalia</t>
        </is>
      </c>
      <c r="F16" s="87" t="inlineStr">
        <is>
          <t>Definir perfil pelo POCUS</t>
        </is>
      </c>
    </row>
    <row r="17" ht="28" customHeight="1">
      <c r="A17" s="43" t="inlineStr">
        <is>
          <t>2</t>
        </is>
      </c>
      <c r="B17" s="44" t="inlineStr">
        <is>
          <t>Quente, RVS baixa, foco infeccioso</t>
        </is>
      </c>
      <c r="C17" s="93" t="inlineStr">
        <is>
          <t>Distributivo (séptico)</t>
        </is>
      </c>
      <c r="D17" s="44" t="inlineStr">
        <is>
          <t>NE + ATB + controle de foco + fluido responsivo</t>
        </is>
      </c>
      <c r="E17" s="44" t="inlineStr">
        <is>
          <t>NE 1ª + Vasopressina 2ª</t>
        </is>
      </c>
      <c r="F17" s="87" t="inlineStr">
        <is>
          <t>Adrenalina se refratário</t>
        </is>
      </c>
    </row>
    <row r="18" ht="28" customHeight="1">
      <c r="A18" s="43" t="inlineStr">
        <is>
          <t>3</t>
        </is>
      </c>
      <c r="B18" s="30" t="inlineStr">
        <is>
          <t>Congestão, eco ruim, ScvO2 baixa</t>
        </is>
      </c>
      <c r="C18" s="93" t="inlineStr">
        <is>
          <t>Cardiogênico</t>
        </is>
      </c>
      <c r="D18" s="30" t="inlineStr">
        <is>
          <t>NE se hipotenso + Dobutamina se baixo DC</t>
        </is>
      </c>
      <c r="E18" s="30" t="inlineStr">
        <is>
          <t>NE + dobutamina</t>
        </is>
      </c>
      <c r="F18" s="87" t="inlineStr">
        <is>
          <t>IABP/VAD em centro experiente</t>
        </is>
      </c>
    </row>
    <row r="19" ht="28" customHeight="1">
      <c r="A19" s="43" t="inlineStr">
        <is>
          <t>4</t>
        </is>
      </c>
      <c r="B19" s="44" t="inlineStr">
        <is>
          <t>VCI colabada, SVV alto, perdas</t>
        </is>
      </c>
      <c r="C19" s="93" t="inlineStr">
        <is>
          <t>Hipovolêmico</t>
        </is>
      </c>
      <c r="D19" s="44" t="inlineStr">
        <is>
          <t>Cristaloide/hemocomp guiado por resposta</t>
        </is>
      </c>
      <c r="E19" s="44" t="inlineStr">
        <is>
          <t>Somente se persistir após vol</t>
        </is>
      </c>
      <c r="F19" s="87" t="inlineStr">
        <is>
          <t>Avaliar PLR antes de cada bolus</t>
        </is>
      </c>
    </row>
    <row r="20" ht="28" customHeight="1">
      <c r="A20" s="43" t="inlineStr">
        <is>
          <t>5</t>
        </is>
      </c>
      <c r="B20" s="30" t="inlineStr">
        <is>
          <t>VCI distendida, TEP, tamponamento</t>
        </is>
      </c>
      <c r="C20" s="93" t="inlineStr">
        <is>
          <t>Obstrutivo</t>
        </is>
      </c>
      <c r="D20" s="30" t="inlineStr">
        <is>
          <t>Descompressão/trombólise/drenagem</t>
        </is>
      </c>
      <c r="E20" s="30" t="inlineStr">
        <is>
          <t>NE como ponte</t>
        </is>
      </c>
      <c r="F20" s="87" t="inlineStr">
        <is>
          <t>POCUS diagnóstico urgente</t>
        </is>
      </c>
    </row>
    <row r="21" ht="28" customHeight="1">
      <c r="A21" s="43" t="inlineStr">
        <is>
          <t>6</t>
        </is>
      </c>
      <c r="B21" s="44" t="inlineStr">
        <is>
          <t>NE alta + lactato persistente</t>
        </is>
      </c>
      <c r="C21" s="93" t="inlineStr">
        <is>
          <t>Refratário</t>
        </is>
      </c>
      <c r="D21" s="44" t="inlineStr">
        <is>
          <t>Vasopressina + adrenalina + corticoide + POCUS</t>
        </is>
      </c>
      <c r="E21" s="44" t="inlineStr">
        <is>
          <t>Avaliar fonte oculta</t>
        </is>
      </c>
      <c r="F21" s="87" t="inlineStr">
        <is>
          <t>ECMO VV-VA em centro experiente</t>
        </is>
      </c>
    </row>
    <row r="24">
      <c r="A24" s="41" t="inlineStr">
        <is>
          <t>🩺  qSOFA / SOFA — TRIAGEM RÁPIDA</t>
        </is>
      </c>
      <c r="B24" s="4" t="n"/>
      <c r="C24" s="4" t="n"/>
      <c r="D24" s="5" t="n"/>
    </row>
    <row r="25">
      <c r="A25" s="3" t="inlineStr">
        <is>
          <t>Critério qSOFA</t>
        </is>
      </c>
      <c r="B25" s="3" t="inlineStr">
        <is>
          <t>Presente?</t>
        </is>
      </c>
      <c r="C25" s="3" t="inlineStr">
        <is>
          <t>Pontos</t>
        </is>
      </c>
      <c r="D25" s="3" t="inlineStr">
        <is>
          <t>Interpretação</t>
        </is>
      </c>
    </row>
    <row r="26">
      <c r="A26" s="59" t="inlineStr">
        <is>
          <t>FR ≥ 22 irpm</t>
        </is>
      </c>
      <c r="B26" s="94" t="inlineStr">
        <is>
          <t>—</t>
        </is>
      </c>
      <c r="C26" s="29" t="n">
        <v>1</v>
      </c>
      <c r="D26" s="30" t="inlineStr">
        <is>
          <t>qSOFA ≥2 = suspeita de sepse — avaliar SOFA</t>
        </is>
      </c>
    </row>
    <row r="27">
      <c r="A27" s="59" t="inlineStr">
        <is>
          <t>Alteração do nível de consciência (GCS&lt;15)</t>
        </is>
      </c>
      <c r="B27" s="94" t="inlineStr">
        <is>
          <t>—</t>
        </is>
      </c>
      <c r="C27" s="29" t="n">
        <v>1</v>
      </c>
      <c r="D27" s="44" t="inlineStr">
        <is>
          <t>Solicitar culturas + ATB se suspeita</t>
        </is>
      </c>
    </row>
    <row r="28">
      <c r="A28" s="59" t="inlineStr">
        <is>
          <t>PAS ≤ 100 mmHg</t>
        </is>
      </c>
      <c r="B28" s="94" t="inlineStr">
        <is>
          <t>—</t>
        </is>
      </c>
      <c r="C28" s="29" t="n">
        <v>1</v>
      </c>
      <c r="D28" s="30" t="inlineStr">
        <is>
          <t>Sensibilidade menor que SIRS mas mais específico</t>
        </is>
      </c>
    </row>
  </sheetData>
  <mergeCells count="5">
    <mergeCell ref="A2:V2"/>
    <mergeCell ref="A14:F14"/>
    <mergeCell ref="A3:G3"/>
    <mergeCell ref="A1:V1"/>
    <mergeCell ref="A24:D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2410C"/>
    <outlinePr summaryBelow="1" summaryRight="1"/>
    <pageSetUpPr/>
  </sheetPr>
  <dimension ref="A1:V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4" customWidth="1" min="4" max="4"/>
    <col width="22" customWidth="1" min="5" max="5"/>
    <col width="30" customWidth="1" min="6" max="6"/>
    <col width="38" customWidth="1" min="7" max="7"/>
    <col width="14" customWidth="1" min="8" max="8"/>
    <col width="12" customWidth="1" min="9" max="9"/>
    <col width="14" customWidth="1" min="10" max="10"/>
    <col width="42" customWidth="1" min="11" max="11"/>
  </cols>
  <sheetData>
    <row r="1" ht="28" customHeight="1">
      <c r="A1" s="1" t="inlineStr">
        <is>
          <t xml:space="preserve">  🏥  DEVICES UTI — DIAS DE USO · TROCA · BUNDLES</t>
        </is>
      </c>
    </row>
    <row r="2" ht="16" customHeight="1">
      <c r="A2" s="2" t="inlineStr">
        <is>
          <t xml:space="preserve">  ⚙️  Preencha datas amarelas — dias calculados automaticamente · CDC 2024  |  Dr. Aldenir Rocha · HRN &amp; Santa Casa Sobral-CE · v2026.1</t>
        </is>
      </c>
    </row>
    <row r="3">
      <c r="A3" s="55" t="inlineStr">
        <is>
          <t>🔌  CONTROLE DE DEVICES — INSERÇÃO · USO · REMOÇÃO · BUNDLES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5" t="n"/>
    </row>
    <row r="4" ht="36" customHeight="1">
      <c r="A4" s="3" t="inlineStr">
        <is>
          <t>Device</t>
        </is>
      </c>
      <c r="B4" s="3" t="inlineStr">
        <is>
          <t>Data inserção
(DD/MM/AA)</t>
        </is>
      </c>
      <c r="C4" s="3" t="inlineStr">
        <is>
          <t>Dias em uso</t>
        </is>
      </c>
      <c r="D4" s="3" t="inlineStr">
        <is>
          <t>Troca programada?</t>
        </is>
      </c>
      <c r="E4" s="3" t="inlineStr">
        <is>
          <t>Prazo/recomendação</t>
        </is>
      </c>
      <c r="F4" s="3" t="inlineStr">
        <is>
          <t>Trocar/remover se</t>
        </is>
      </c>
      <c r="G4" s="3" t="inlineStr">
        <is>
          <t>Bundle essencial</t>
        </is>
      </c>
      <c r="H4" s="3" t="inlineStr">
        <is>
          <t>Responsável</t>
        </is>
      </c>
      <c r="I4" s="3" t="inlineStr">
        <is>
          <t>Status</t>
        </is>
      </c>
      <c r="J4" s="3" t="inlineStr">
        <is>
          <t>Próxima revisão</t>
        </is>
      </c>
      <c r="K4" s="3" t="inlineStr">
        <is>
          <t>Alertas CDC 2024</t>
        </is>
      </c>
    </row>
    <row r="5" ht="28" customHeight="1">
      <c r="A5" s="95" t="inlineStr">
        <is>
          <t>CVC não tunelizado / PICC</t>
        </is>
      </c>
      <c r="B5" s="25" t="inlineStr"/>
      <c r="C5" s="96">
        <f>""</f>
        <v/>
      </c>
      <c r="D5" s="30" t="inlineStr">
        <is>
          <t>Não</t>
        </is>
      </c>
      <c r="E5" s="30" t="inlineStr">
        <is>
          <t>NÃO trocar rotineiramente</t>
        </is>
      </c>
      <c r="F5" s="30" t="inlineStr">
        <is>
          <t>Suspeita infecção, mau funcionamento, sem indicação</t>
        </is>
      </c>
      <c r="G5" s="30" t="inlineStr">
        <is>
          <t>Barreira máxima inserção + clorexidina + curativo seco</t>
        </is>
      </c>
      <c r="H5" s="30" t="inlineStr">
        <is>
          <t>Médico/Enf</t>
        </is>
      </c>
      <c r="I5" s="66" t="inlineStr">
        <is>
          <t>⬤ Revisar</t>
        </is>
      </c>
      <c r="J5" s="30" t="inlineStr">
        <is>
          <t>Diário</t>
        </is>
      </c>
      <c r="K5" s="97" t="inlineStr">
        <is>
          <t>Remover assim que possível — principal fator ICSRC</t>
        </is>
      </c>
    </row>
    <row r="6" ht="28" customHeight="1">
      <c r="A6" s="95" t="inlineStr">
        <is>
          <t>Cateter arterial</t>
        </is>
      </c>
      <c r="B6" s="25" t="inlineStr"/>
      <c r="C6" s="96">
        <f>""</f>
        <v/>
      </c>
      <c r="D6" s="44" t="inlineStr">
        <is>
          <t>Não</t>
        </is>
      </c>
      <c r="E6" s="44" t="inlineStr">
        <is>
          <t>Trocar APENAS por indicação clínica</t>
        </is>
      </c>
      <c r="F6" s="44" t="inlineStr">
        <is>
          <t>Infecção, isquemia distal, mau funcionamento</t>
        </is>
      </c>
      <c r="G6" s="44" t="inlineStr">
        <is>
          <t>Sistema fechado, flush, transdutor zerado</t>
        </is>
      </c>
      <c r="H6" s="44" t="inlineStr">
        <is>
          <t>Médico</t>
        </is>
      </c>
      <c r="I6" s="66" t="inlineStr">
        <is>
          <t>⬤ Revisar</t>
        </is>
      </c>
      <c r="J6" s="44" t="inlineStr">
        <is>
          <t>Diário</t>
        </is>
      </c>
      <c r="K6" s="97" t="inlineStr">
        <is>
          <t>Inspecionar pulso distal a cada plantão</t>
        </is>
      </c>
    </row>
    <row r="7" ht="28" customHeight="1">
      <c r="A7" s="95" t="inlineStr">
        <is>
          <t>Transdutor/tubos pressão</t>
        </is>
      </c>
      <c r="B7" s="25" t="inlineStr"/>
      <c r="C7" s="96">
        <f>""</f>
        <v/>
      </c>
      <c r="D7" s="30" t="inlineStr">
        <is>
          <t>Sim</t>
        </is>
      </c>
      <c r="E7" s="30" t="inlineStr">
        <is>
          <t>96 horas</t>
        </is>
      </c>
      <c r="F7" s="30" t="inlineStr">
        <is>
          <t>Contaminação, desconexão, mau funcionamento</t>
        </is>
      </c>
      <c r="G7" s="30" t="inlineStr">
        <is>
          <t>Sistema estéril fechado</t>
        </is>
      </c>
      <c r="H7" s="30" t="inlineStr">
        <is>
          <t>Enf</t>
        </is>
      </c>
      <c r="I7" s="66" t="inlineStr">
        <is>
          <t>⬤ Revisar</t>
        </is>
      </c>
      <c r="J7" s="30" t="inlineStr">
        <is>
          <t>96h</t>
        </is>
      </c>
      <c r="K7" s="97" t="inlineStr">
        <is>
          <t>Datar no equipo</t>
        </is>
      </c>
    </row>
    <row r="8" ht="28" customHeight="1">
      <c r="A8" s="95" t="inlineStr">
        <is>
          <t>Equipo contínuo comum</t>
        </is>
      </c>
      <c r="B8" s="25" t="inlineStr"/>
      <c r="C8" s="96">
        <f>""</f>
        <v/>
      </c>
      <c r="D8" s="44" t="inlineStr">
        <is>
          <t>Sim</t>
        </is>
      </c>
      <c r="E8" s="44" t="inlineStr">
        <is>
          <t>96h (≤7 dias max)</t>
        </is>
      </c>
      <c r="F8" s="44" t="inlineStr">
        <is>
          <t>Contaminação, sangue, lipídio</t>
        </is>
      </c>
      <c r="G8" s="44" t="inlineStr">
        <is>
          <t>Rotular data/hora inserção</t>
        </is>
      </c>
      <c r="H8" s="44" t="inlineStr">
        <is>
          <t>Enf</t>
        </is>
      </c>
      <c r="I8" s="66" t="inlineStr">
        <is>
          <t>⬤ Revisar</t>
        </is>
      </c>
      <c r="J8" s="44" t="inlineStr">
        <is>
          <t>96h</t>
        </is>
      </c>
      <c r="K8" s="97" t="inlineStr">
        <is>
          <t>Sangue/lipídio: 24h</t>
        </is>
      </c>
    </row>
    <row r="9" ht="28" customHeight="1">
      <c r="A9" s="95" t="inlineStr">
        <is>
          <t>Equipo sangue/hemoderivado</t>
        </is>
      </c>
      <c r="B9" s="25" t="inlineStr"/>
      <c r="C9" s="96">
        <f>""</f>
        <v/>
      </c>
      <c r="D9" s="30" t="inlineStr">
        <is>
          <t>Sim</t>
        </is>
      </c>
      <c r="E9" s="30" t="inlineStr">
        <is>
          <t>24h do início</t>
        </is>
      </c>
      <c r="F9" s="30" t="inlineStr">
        <is>
          <t>Após infusão ou contaminação</t>
        </is>
      </c>
      <c r="G9" s="30" t="inlineStr">
        <is>
          <t>Rotular início</t>
        </is>
      </c>
      <c r="H9" s="30" t="inlineStr">
        <is>
          <t>Enf</t>
        </is>
      </c>
      <c r="I9" s="66" t="inlineStr">
        <is>
          <t>⬤ Revisar</t>
        </is>
      </c>
      <c r="J9" s="30" t="inlineStr">
        <is>
          <t>24h</t>
        </is>
      </c>
      <c r="K9" s="97" t="inlineStr">
        <is>
          <t>Nunca reutilizar</t>
        </is>
      </c>
    </row>
    <row r="10" ht="28" customHeight="1">
      <c r="A10" s="95" t="inlineStr">
        <is>
          <t>Equipo propofol</t>
        </is>
      </c>
      <c r="B10" s="25" t="inlineStr"/>
      <c r="C10" s="96">
        <f>""</f>
        <v/>
      </c>
      <c r="D10" s="44" t="inlineStr">
        <is>
          <t>Sim</t>
        </is>
      </c>
      <c r="E10" s="44" t="inlineStr">
        <is>
          <t>6–12h ou troca frasco</t>
        </is>
      </c>
      <c r="F10" s="44" t="inlineStr">
        <is>
          <t>Troca do frasco, contaminação</t>
        </is>
      </c>
      <c r="G10" s="44" t="inlineStr">
        <is>
          <t>Asepsia rigorosa</t>
        </is>
      </c>
      <c r="H10" s="44" t="inlineStr">
        <is>
          <t>Enf/Méd</t>
        </is>
      </c>
      <c r="I10" s="66" t="inlineStr">
        <is>
          <t>⬤ Revisar</t>
        </is>
      </c>
      <c r="J10" s="44" t="inlineStr">
        <is>
          <t>Troca frasco</t>
        </is>
      </c>
      <c r="K10" s="97" t="inlineStr">
        <is>
          <t>Propofol = meio de cultura!</t>
        </is>
      </c>
    </row>
    <row r="11" ht="28" customHeight="1">
      <c r="A11" s="95" t="inlineStr">
        <is>
          <t>Sonda vesical de demora</t>
        </is>
      </c>
      <c r="B11" s="25" t="inlineStr"/>
      <c r="C11" s="96">
        <f>""</f>
        <v/>
      </c>
      <c r="D11" s="30" t="inlineStr">
        <is>
          <t>Não</t>
        </is>
      </c>
      <c r="E11" s="30" t="inlineStr">
        <is>
          <t>NÃO trocar rotineiramente — REMOVER cedo!</t>
        </is>
      </c>
      <c r="F11" s="30" t="inlineStr">
        <is>
          <t>Obstrução, infecção, sem indicação</t>
        </is>
      </c>
      <c r="G11" s="30" t="inlineStr">
        <is>
          <t>Sistema fechado abaixo bexiga, higiene perineal diária</t>
        </is>
      </c>
      <c r="H11" s="30" t="inlineStr">
        <is>
          <t>Enf</t>
        </is>
      </c>
      <c r="I11" s="66" t="inlineStr">
        <is>
          <t>⬤ Revisar</t>
        </is>
      </c>
      <c r="J11" s="30" t="inlineStr">
        <is>
          <t>Diário</t>
        </is>
      </c>
      <c r="K11" s="97" t="inlineStr">
        <is>
          <t>Protocolo CAUTI: checar indicação DIARIAMENTE</t>
        </is>
      </c>
    </row>
    <row r="12" ht="28" customHeight="1">
      <c r="A12" s="95" t="inlineStr">
        <is>
          <t>TOT / TQT</t>
        </is>
      </c>
      <c r="B12" s="25" t="inlineStr"/>
      <c r="C12" s="96">
        <f>""</f>
        <v/>
      </c>
      <c r="D12" s="44" t="inlineStr">
        <is>
          <t>Não</t>
        </is>
      </c>
      <c r="E12" s="44" t="inlineStr">
        <is>
          <t>NÃO trocar rotineiramente</t>
        </is>
      </c>
      <c r="F12" s="44" t="inlineStr">
        <is>
          <t>Obstrução, cuff roto, deslocamento</t>
        </is>
      </c>
      <c r="G12" s="44" t="inlineStr">
        <is>
          <t>Cabeceira 30–45°, higiene oral 6/6h, pressão cuff 20–30 cmH2O</t>
        </is>
      </c>
      <c r="H12" s="44" t="inlineStr">
        <is>
          <t>Enf/Méd</t>
        </is>
      </c>
      <c r="I12" s="66" t="inlineStr">
        <is>
          <t>⬤ Revisar</t>
        </is>
      </c>
      <c r="J12" s="44" t="inlineStr">
        <is>
          <t>Diário</t>
        </is>
      </c>
      <c r="K12" s="97" t="inlineStr">
        <is>
          <t>SAT+SBT diário; protocolo PAV</t>
        </is>
      </c>
    </row>
    <row r="13" ht="28" customHeight="1">
      <c r="A13" s="95" t="inlineStr">
        <is>
          <t>Circuito ventilador</t>
        </is>
      </c>
      <c r="B13" s="25" t="inlineStr"/>
      <c r="C13" s="96">
        <f>""</f>
        <v/>
      </c>
      <c r="D13" s="30" t="inlineStr">
        <is>
          <t>Não</t>
        </is>
      </c>
      <c r="E13" s="30" t="inlineStr">
        <is>
          <t>Somente se sujo/danificado</t>
        </is>
      </c>
      <c r="F13" s="30" t="inlineStr">
        <is>
          <t>Sujidade, condensado, dano</t>
        </is>
      </c>
      <c r="G13" s="30" t="inlineStr">
        <is>
          <t>Evitar manipulação desnecessária</t>
        </is>
      </c>
      <c r="H13" s="30" t="inlineStr">
        <is>
          <t>Fisio/Enf</t>
        </is>
      </c>
      <c r="I13" s="66" t="inlineStr">
        <is>
          <t>⬤ Revisar</t>
        </is>
      </c>
      <c r="J13" s="30" t="inlineStr">
        <is>
          <t>Diário</t>
        </is>
      </c>
      <c r="K13" s="97" t="inlineStr">
        <is>
          <t>NÃO trocar rotineiramente — aumenta PAV</t>
        </is>
      </c>
    </row>
    <row r="14" ht="28" customHeight="1">
      <c r="A14" s="95" t="inlineStr">
        <is>
          <t>Dreno torácico</t>
        </is>
      </c>
      <c r="B14" s="25" t="inlineStr"/>
      <c r="C14" s="96">
        <f>""</f>
        <v/>
      </c>
      <c r="D14" s="44" t="inlineStr">
        <is>
          <t>Não</t>
        </is>
      </c>
      <c r="E14" s="44" t="inlineStr">
        <is>
          <t>Revisão diária</t>
        </is>
      </c>
      <c r="F14" s="44" t="inlineStr">
        <is>
          <t>Sem débito/fuga resolvida, infecção</t>
        </is>
      </c>
      <c r="G14" s="44" t="inlineStr">
        <is>
          <t>Sistema abaixo do tórax; selo ou aspiração</t>
        </is>
      </c>
      <c r="H14" s="44" t="inlineStr">
        <is>
          <t>Médico</t>
        </is>
      </c>
      <c r="I14" s="66" t="inlineStr">
        <is>
          <t>⬤ Revisar</t>
        </is>
      </c>
      <c r="J14" s="44" t="inlineStr">
        <is>
          <t>Diário</t>
        </is>
      </c>
      <c r="K14" s="97" t="inlineStr">
        <is>
          <t>Remover assim que possível</t>
        </is>
      </c>
    </row>
    <row r="15" ht="28" customHeight="1">
      <c r="A15" s="95" t="inlineStr">
        <is>
          <t>Cateter epidural</t>
        </is>
      </c>
      <c r="B15" s="25" t="inlineStr"/>
      <c r="C15" s="96">
        <f>""</f>
        <v/>
      </c>
      <c r="D15" s="30" t="inlineStr">
        <is>
          <t>Não</t>
        </is>
      </c>
      <c r="E15" s="30" t="inlineStr">
        <is>
          <t>Protocolo anestesia</t>
        </is>
      </c>
      <c r="F15" s="30" t="inlineStr">
        <is>
          <t>Infecção, dor ao injetar, mau funcionamento</t>
        </is>
      </c>
      <c r="G15" s="30" t="inlineStr">
        <is>
          <t>Asepsia rigorosa, fixação adequada</t>
        </is>
      </c>
      <c r="H15" s="30" t="inlineStr">
        <is>
          <t>Anestesia/Méd</t>
        </is>
      </c>
      <c r="I15" s="66" t="inlineStr">
        <is>
          <t>⬤ Revisar</t>
        </is>
      </c>
      <c r="J15" s="30" t="inlineStr">
        <is>
          <t>Diário</t>
        </is>
      </c>
      <c r="K15" s="97" t="inlineStr">
        <is>
          <t>Avaliar remoção ≤7 dias</t>
        </is>
      </c>
    </row>
    <row r="16" ht="28" customHeight="1">
      <c r="A16" s="95" t="inlineStr">
        <is>
          <t>Marca-passo provisório</t>
        </is>
      </c>
      <c r="B16" s="25" t="inlineStr"/>
      <c r="C16" s="96">
        <f>""</f>
        <v/>
      </c>
      <c r="D16" s="44" t="inlineStr">
        <is>
          <t>Não</t>
        </is>
      </c>
      <c r="E16" s="44" t="inlineStr">
        <is>
          <t>Indicação clínica</t>
        </is>
      </c>
      <c r="F16" s="44" t="inlineStr">
        <is>
          <t>Sem necessidade, infecção, arritmia controlada</t>
        </is>
      </c>
      <c r="G16" s="44" t="inlineStr">
        <is>
          <t>Curativo estéril, limitar movimentação</t>
        </is>
      </c>
      <c r="H16" s="44" t="inlineStr">
        <is>
          <t>Médico/Card</t>
        </is>
      </c>
      <c r="I16" s="66" t="inlineStr">
        <is>
          <t>⬤ Revisar</t>
        </is>
      </c>
      <c r="J16" s="44" t="inlineStr">
        <is>
          <t>Diário</t>
        </is>
      </c>
      <c r="K16" s="97" t="inlineStr">
        <is>
          <t>Converter para permanente quando estável</t>
        </is>
      </c>
    </row>
    <row r="18">
      <c r="A18" s="92" t="inlineStr">
        <is>
          <t>💡  Insira datas de inserção na coluna B para calcular dias em uso | Revisar indicação de TODOS os devices DIARIAMENTE | Fonte: CDC HICPAC 2024 / ANVISA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5" t="n"/>
    </row>
  </sheetData>
  <mergeCells count="4">
    <mergeCell ref="A2:V2"/>
    <mergeCell ref="A1:V1"/>
    <mergeCell ref="A18:K18"/>
    <mergeCell ref="A3:K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E123C"/>
    <outlinePr summaryBelow="1" summaryRight="1"/>
    <pageSetUpPr/>
  </sheetPr>
  <dimension ref="A1:V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40" customWidth="1" min="4" max="4"/>
    <col width="34" customWidth="1" min="5" max="5"/>
  </cols>
  <sheetData>
    <row r="1" ht="28" customHeight="1">
      <c r="A1" s="1" t="inlineStr">
        <is>
          <t xml:space="preserve">  🏥  PRIORIDADE DE ADMISSÃO NA UTI — P1 → P4</t>
        </is>
      </c>
    </row>
    <row r="2" ht="16" customHeight="1">
      <c r="A2" s="2" t="inlineStr">
        <is>
          <t xml:space="preserve">  ⚙️  Score operacional SCCM | Benefício x Proporcionalidade | edite campos amarelos  |  Dr. Aldenir Rocha · HRN &amp; Santa Casa Sobral-CE · v2026.1</t>
        </is>
      </c>
    </row>
    <row r="3">
      <c r="A3" s="73" t="inlineStr">
        <is>
          <t>🏥  CRITÉRIOS DE PRIORIDADE — RESPONDA COM 1=SIM / 0=NÃO</t>
        </is>
      </c>
      <c r="B3" s="4" t="n"/>
      <c r="C3" s="4" t="n"/>
      <c r="D3" s="4" t="n"/>
      <c r="E3" s="5" t="n"/>
    </row>
    <row r="4">
      <c r="A4" s="3" t="inlineStr">
        <is>
          <t>Critério clínico</t>
        </is>
      </c>
      <c r="B4" s="3" t="inlineStr">
        <is>
          <t>Presente (1=Sim / 0=Não)</t>
        </is>
      </c>
      <c r="C4" s="3" t="inlineStr">
        <is>
          <t>Peso operacional</t>
        </is>
      </c>
      <c r="D4" s="3" t="inlineStr">
        <is>
          <t>Comentário</t>
        </is>
      </c>
      <c r="E4" s="3" t="inlineStr">
        <is>
          <t>Fonte</t>
        </is>
      </c>
    </row>
    <row r="5" ht="24" customHeight="1">
      <c r="A5" s="59" t="inlineStr">
        <is>
          <t>VM invasiva ou risco imediato de via aérea</t>
        </is>
      </c>
      <c r="B5" s="25" t="n">
        <v>0</v>
      </c>
      <c r="C5" s="26" t="inlineStr">
        <is>
          <t>5</t>
        </is>
      </c>
      <c r="D5" s="30" t="inlineStr">
        <is>
          <t>Suporte vital imediato — maior benefício esperado</t>
        </is>
      </c>
      <c r="E5" s="98" t="inlineStr">
        <is>
          <t>SCCM</t>
        </is>
      </c>
    </row>
    <row r="6" ht="24" customHeight="1">
      <c r="A6" s="59" t="inlineStr">
        <is>
          <t>Vasopressor, inotrópico ou choque</t>
        </is>
      </c>
      <c r="B6" s="25" t="n">
        <v>0</v>
      </c>
      <c r="C6" s="26" t="inlineStr">
        <is>
          <t>5</t>
        </is>
      </c>
      <c r="D6" s="44" t="inlineStr">
        <is>
          <t>Instabilidade hemodinâmica requer monitorização invasiva</t>
        </is>
      </c>
      <c r="E6" s="98" t="inlineStr">
        <is>
          <t>SCCM</t>
        </is>
      </c>
    </row>
    <row r="7" ht="24" customHeight="1">
      <c r="A7" s="59" t="inlineStr">
        <is>
          <t>Monitorização invasiva de alto risco</t>
        </is>
      </c>
      <c r="B7" s="25" t="n">
        <v>0</v>
      </c>
      <c r="C7" s="26" t="inlineStr">
        <is>
          <t>4</t>
        </is>
      </c>
      <c r="D7" s="30" t="inlineStr">
        <is>
          <t>Pós-op alto risco, arritmia instável, neuro crítico</t>
        </is>
      </c>
      <c r="E7" s="98" t="inlineStr">
        <is>
          <t>SCCM</t>
        </is>
      </c>
    </row>
    <row r="8" ht="24" customHeight="1">
      <c r="A8" s="59" t="inlineStr">
        <is>
          <t>Disfunção orgânica aguda reversível</t>
        </is>
      </c>
      <c r="B8" s="25" t="n">
        <v>0</v>
      </c>
      <c r="C8" s="26" t="inlineStr">
        <is>
          <t>4</t>
        </is>
      </c>
      <c r="D8" s="44" t="inlineStr">
        <is>
          <t>Maior benefício se reversível — AKI, hepatite fulm, sepse</t>
        </is>
      </c>
      <c r="E8" s="98" t="inlineStr">
        <is>
          <t>SCCM</t>
        </is>
      </c>
    </row>
    <row r="9" ht="24" customHeight="1">
      <c r="A9" s="59" t="inlineStr">
        <is>
          <t>Risco elevado de deterioração</t>
        </is>
      </c>
      <c r="B9" s="25" t="n">
        <v>0</v>
      </c>
      <c r="C9" s="26" t="inlineStr">
        <is>
          <t>3</t>
        </is>
      </c>
      <c r="D9" s="30" t="inlineStr">
        <is>
          <t>qSOFA ≥2, NEWS ≥7, lactato alto, pós-cirurgia complexa</t>
        </is>
      </c>
      <c r="E9" s="98" t="inlineStr">
        <is>
          <t>SCCM</t>
        </is>
      </c>
    </row>
    <row r="10" ht="24" customHeight="1">
      <c r="A10" s="59" t="inlineStr">
        <is>
          <t>Limitação terapêutica / terminalidade</t>
        </is>
      </c>
      <c r="B10" s="25" t="n">
        <v>0</v>
      </c>
      <c r="C10" s="26" t="inlineStr">
        <is>
          <t>-3</t>
        </is>
      </c>
      <c r="D10" s="44" t="inlineStr">
        <is>
          <t>Proporcionalidade — checar diretivas antecipadas</t>
        </is>
      </c>
      <c r="E10" s="98" t="inlineStr">
        <is>
          <t>SCCM</t>
        </is>
      </c>
    </row>
    <row r="11" ht="24" customHeight="1">
      <c r="A11" s="59" t="inlineStr">
        <is>
          <t>Baixa necessidade de UTI (pode ir p/ intermediária)</t>
        </is>
      </c>
      <c r="B11" s="25" t="n">
        <v>0</v>
      </c>
      <c r="C11" s="26" t="inlineStr">
        <is>
          <t>-2</t>
        </is>
      </c>
      <c r="D11" s="30" t="inlineStr">
        <is>
          <t>Pode ser gerenciado em nível inferior de cuidado</t>
        </is>
      </c>
      <c r="E11" s="98" t="inlineStr">
        <is>
          <t>SCCM</t>
        </is>
      </c>
    </row>
    <row r="12" ht="24" customHeight="1">
      <c r="A12" s="59" t="inlineStr">
        <is>
          <t>Comorbidade grave com baixa reserva funcional</t>
        </is>
      </c>
      <c r="B12" s="25" t="n">
        <v>0</v>
      </c>
      <c r="C12" s="26" t="inlineStr">
        <is>
          <t>-1</t>
        </is>
      </c>
      <c r="D12" s="44" t="inlineStr">
        <is>
          <t>P3 se benefício incerto — não exclui automaticamente</t>
        </is>
      </c>
      <c r="E12" s="98" t="inlineStr">
        <is>
          <t>SCCM</t>
        </is>
      </c>
    </row>
    <row r="14">
      <c r="A14" s="41" t="inlineStr">
        <is>
          <t>🎯  RESULTADO — PRIORIDADE SUGERIDA</t>
        </is>
      </c>
      <c r="B14" s="4" t="n"/>
      <c r="C14" s="5" t="n"/>
    </row>
    <row r="15">
      <c r="A15" s="3" t="inlineStr">
        <is>
          <t>Score operacional calculado</t>
        </is>
      </c>
      <c r="B15" s="50">
        <f>SUMPRODUCT(B5:B12,{5,5,4,4,3,-3,-2,-1})</f>
        <v/>
      </c>
    </row>
    <row r="16" ht="34" customHeight="1">
      <c r="A16" s="42">
        <f>IF(SUMPRODUCT(B5:B12,{5,5,4,4,3,-3,-2,-1})&gt;=8,"🔴 P1 — CRÍTICO INSTÁVEL: necessita suporte intensivo imediato",IF(SUMPRODUCT(B5:B12,{5,5,4,4,3,-3,-2,-1})&gt;=5,"🟠 P2 — ALTO RISCO: monitorização intensiva necessária",IF(SUMPRODUCT(B5:B12,{5,5,4,4,3,-3,-2,-1})&gt;=2,"🟡 P3 — BENEFÍCIO INCERTO: alinhar metas e proporcionalidade","🟢 P4 — BAIXA NECESSIDADE UTI: considerar intermediária ou cuidado paliativo")))</f>
        <v/>
      </c>
    </row>
    <row r="18">
      <c r="A18" s="41" t="inlineStr">
        <is>
          <t>📊  TABELA P1–P4 — DEFINIÇÃO E CONDUTA</t>
        </is>
      </c>
      <c r="B18" s="4" t="n"/>
      <c r="C18" s="4" t="n"/>
      <c r="D18" s="4" t="n"/>
      <c r="E18" s="5" t="n"/>
    </row>
    <row r="19">
      <c r="A19" s="3" t="inlineStr">
        <is>
          <t>Prioridade</t>
        </is>
      </c>
      <c r="B19" s="3" t="inlineStr">
        <is>
          <t>Definição</t>
        </is>
      </c>
      <c r="C19" s="3" t="inlineStr">
        <is>
          <t>Necessidade UTI</t>
        </is>
      </c>
      <c r="D19" s="3" t="inlineStr">
        <is>
          <t>Conduta</t>
        </is>
      </c>
      <c r="E19" s="3" t="inlineStr">
        <is>
          <t>Exemplo clínico</t>
        </is>
      </c>
    </row>
    <row r="20" ht="30" customHeight="1">
      <c r="A20" s="68" t="inlineStr">
        <is>
          <t>P1 — Crítico instável</t>
        </is>
      </c>
      <c r="B20" s="30" t="inlineStr">
        <is>
          <t>VM/choque/instabilidade aguda grave com benefício esperado</t>
        </is>
      </c>
      <c r="C20" s="30" t="inlineStr">
        <is>
          <t>VM invasiva, DVA, monit invasiva</t>
        </is>
      </c>
      <c r="D20" s="30" t="inlineStr">
        <is>
          <t>Admissão imediata</t>
        </is>
      </c>
      <c r="E20" s="30" t="inlineStr">
        <is>
          <t>Choque séptico, ARDS grave, IAM com choque</t>
        </is>
      </c>
    </row>
    <row r="21" ht="30" customHeight="1">
      <c r="A21" s="70" t="inlineStr">
        <is>
          <t>P2 — Alto risco</t>
        </is>
      </c>
      <c r="B21" s="44" t="inlineStr">
        <is>
          <t>Alto risco de deterioração ou precisa monitorização intensa</t>
        </is>
      </c>
      <c r="C21" s="44" t="inlineStr">
        <is>
          <t>Monitorização contínua, sem suporte pleno</t>
        </is>
      </c>
      <c r="D21" s="44" t="inlineStr">
        <is>
          <t>Admissão prioritária</t>
        </is>
      </c>
      <c r="E21" s="44" t="inlineStr">
        <is>
          <t>Sepse sem choque, pós-op alto risco, AKI oligúrica</t>
        </is>
      </c>
    </row>
    <row r="22" ht="30" customHeight="1">
      <c r="A22" s="67" t="inlineStr">
        <is>
          <t>P3 — Benefício incerto</t>
        </is>
      </c>
      <c r="B22" s="30" t="inlineStr">
        <is>
          <t>Doença grave com comorbidade limitante ou incerteza de benefício</t>
        </is>
      </c>
      <c r="C22" s="30" t="inlineStr">
        <is>
          <t>Pode necessitar ou não de suporte</t>
        </is>
      </c>
      <c r="D22" s="30" t="inlineStr">
        <is>
          <t>Discutir c/ equipe e família; alinhar metas</t>
        </is>
      </c>
      <c r="E22" s="30" t="inlineStr">
        <is>
          <t>Neoplasia avançada, dependência funcional grave</t>
        </is>
      </c>
    </row>
    <row r="23" ht="30" customHeight="1">
      <c r="A23" s="65" t="inlineStr">
        <is>
          <t>P4 — Baixo benefício</t>
        </is>
      </c>
      <c r="B23" s="44" t="inlineStr">
        <is>
          <t>Baixa probabilidade de benefício — terminal ou mínima necessidade</t>
        </is>
      </c>
      <c r="C23" s="44" t="inlineStr">
        <is>
          <t>Não requer UTI ou benefício improvável</t>
        </is>
      </c>
      <c r="D23" s="44" t="inlineStr">
        <is>
          <t>Cuidado paliativo, enfermaria ou intermediária</t>
        </is>
      </c>
      <c r="E23" s="44" t="inlineStr">
        <is>
          <t>Doença terminal refratária, cuidados de conforto</t>
        </is>
      </c>
    </row>
    <row r="25">
      <c r="A25" s="63" t="inlineStr">
        <is>
          <t>⚠️  ATENÇÃO: Score operacional NÃO substitui regulação, ética clínica, disponibilidade de leito ou decisão colegiada</t>
        </is>
      </c>
      <c r="B25" s="4" t="n"/>
      <c r="C25" s="4" t="n"/>
      <c r="D25" s="4" t="n"/>
      <c r="E25" s="5" t="n"/>
    </row>
  </sheetData>
  <mergeCells count="7">
    <mergeCell ref="A2:V2"/>
    <mergeCell ref="A16:E16"/>
    <mergeCell ref="A1:V1"/>
    <mergeCell ref="A14:C14"/>
    <mergeCell ref="A25:E25"/>
    <mergeCell ref="A18:E18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6A34A"/>
    <outlinePr summaryBelow="1" summaryRight="1"/>
    <pageSetUpPr/>
  </sheetPr>
  <dimension ref="A1:V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38" customWidth="1" min="10" max="10"/>
    <col width="14" customWidth="1" min="11" max="11"/>
  </cols>
  <sheetData>
    <row r="1" ht="28" customHeight="1">
      <c r="A1" s="1" t="inlineStr">
        <is>
          <t xml:space="preserve">  🏥  ANTIBIÓTICOS — AJUSTE POR FUNÇÃO RENAL</t>
        </is>
      </c>
    </row>
    <row r="2" ht="16" customHeight="1">
      <c r="A2" s="2" t="inlineStr">
        <is>
          <t xml:space="preserve">  ⚙️  CrCl · HD · CRRT · dose ataque · consulta rápida | Stanford/UCSF 2026  |  Dr. Aldenir Rocha · HRN &amp; Santa Casa Sobral-CE · v2026.1</t>
        </is>
      </c>
    </row>
    <row r="3">
      <c r="A3" s="49" t="inlineStr">
        <is>
          <t>🧮  CALCULADORA CrCl — COCKCROFT-GAULT</t>
        </is>
      </c>
      <c r="B3" s="4" t="n"/>
      <c r="C3" s="4" t="n"/>
      <c r="D3" s="4" t="n"/>
      <c r="E3" s="5" t="n"/>
    </row>
    <row r="4">
      <c r="A4" s="3" t="inlineStr">
        <is>
          <t>Idade (anos)</t>
        </is>
      </c>
      <c r="B4" s="3" t="inlineStr">
        <is>
          <t>Peso (kg)</t>
        </is>
      </c>
      <c r="C4" s="3" t="inlineStr">
        <is>
          <t>Creatinina (mg/dL)</t>
        </is>
      </c>
      <c r="D4" s="3" t="inlineStr">
        <is>
          <t>Sexo</t>
        </is>
      </c>
      <c r="E4" s="3" t="inlineStr">
        <is>
          <t>CrCl (mL/min)</t>
        </is>
      </c>
    </row>
    <row r="5">
      <c r="A5" s="25" t="n">
        <v>65</v>
      </c>
      <c r="B5" s="25" t="n">
        <v>70</v>
      </c>
      <c r="C5" s="25" t="n">
        <v>1.2</v>
      </c>
      <c r="D5" s="25" t="inlineStr">
        <is>
          <t>Masculino</t>
        </is>
      </c>
      <c r="E5" s="50">
        <f>ROUND(IF(D5="Feminino",(140-A5)*B5/(72*C5)*0.85,(140-A5)*B5/(72*C5)),1)</f>
        <v/>
      </c>
    </row>
    <row r="6" ht="26" customHeight="1">
      <c r="A6" s="62">
        <f>IF(ROUND(IF(D5="Feminino",(140-A5)*B5/(72*C5)*0.85,(140-A5)*B5/(72*C5)),1)&gt;80,"✅ CrCl &gt;80 — Função renal normal",IF(ROUND(IF(D5="Feminino",(140-A5)*B5/(72*C5)*0.85,(140-A5)*B5/(72*C5)),1)&gt;50,"🟡 CrCl 51–80 — Leve redução — ajustar alguns fármacos",IF(ROUND(IF(D5="Feminino",(140-A5)*B5/(72*C5)*0.85,(140-A5)*B5/(72*C5)),1)&gt;30,"🟠 CrCl 31–50 — Moderada — ajustar maioria","🔴 CrCl ≤30 — Grave — ajustar/evitar muitos fármacos")))</f>
        <v/>
      </c>
    </row>
    <row r="8">
      <c r="A8" s="47" t="inlineStr">
        <is>
          <t>💉  TABELA ANTIBIÓTICOS — AJUSTE RENAL / HD / CRRT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5" t="n"/>
    </row>
    <row r="9">
      <c r="A9" s="3" t="inlineStr">
        <is>
          <t>Antimicrobiano</t>
        </is>
      </c>
      <c r="B9" s="3" t="inlineStr">
        <is>
          <t>Dose usual (grave)</t>
        </is>
      </c>
      <c r="C9" s="3" t="inlineStr">
        <is>
          <t>CrCl &gt;50</t>
        </is>
      </c>
      <c r="D9" s="3" t="inlineStr">
        <is>
          <t>CrCl 30–49</t>
        </is>
      </c>
      <c r="E9" s="3" t="inlineStr">
        <is>
          <t>CrCl 10–29</t>
        </is>
      </c>
      <c r="F9" s="3" t="inlineStr">
        <is>
          <t>HD/IHD</t>
        </is>
      </c>
      <c r="G9" s="3" t="inlineStr">
        <is>
          <t>CRRT</t>
        </is>
      </c>
      <c r="H9" s="3" t="inlineStr">
        <is>
          <t>Dose ataque?</t>
        </is>
      </c>
      <c r="I9" s="3" t="inlineStr">
        <is>
          <t>Monitorização</t>
        </is>
      </c>
      <c r="J9" s="3" t="inlineStr">
        <is>
          <t>Alertas UTI</t>
        </is>
      </c>
      <c r="K9" s="3" t="inlineStr">
        <is>
          <t>Fonte</t>
        </is>
      </c>
    </row>
    <row r="10" ht="24" customHeight="1">
      <c r="A10" s="59" t="inlineStr">
        <is>
          <t>🔵 Ceftriaxona</t>
        </is>
      </c>
      <c r="B10" s="30" t="inlineStr">
        <is>
          <t>1–2g IV q24h</t>
        </is>
      </c>
      <c r="C10" s="30" t="inlineStr">
        <is>
          <t>sem ajuste</t>
        </is>
      </c>
      <c r="D10" s="30" t="inlineStr">
        <is>
          <t>sem ajuste</t>
        </is>
      </c>
      <c r="E10" s="30" t="inlineStr">
        <is>
          <t>sem ajuste</t>
        </is>
      </c>
      <c r="F10" s="30" t="inlineStr">
        <is>
          <t>sem ajuste</t>
        </is>
      </c>
      <c r="G10" s="30" t="inlineStr">
        <is>
          <t>sem ajuste</t>
        </is>
      </c>
      <c r="H10" s="30" t="inlineStr">
        <is>
          <t>Sim se sepse</t>
        </is>
      </c>
      <c r="I10" s="30" t="inlineStr">
        <is>
          <t>Bilirrubina</t>
        </is>
      </c>
      <c r="J10" s="97" t="inlineStr">
        <is>
          <t>Não cobre Pseudomonas; cuidado colestase</t>
        </is>
      </c>
      <c r="K10" s="99" t="inlineStr">
        <is>
          <t>Stanford/UCSF</t>
        </is>
      </c>
    </row>
    <row r="11" ht="24" customHeight="1">
      <c r="A11" s="59" t="inlineStr">
        <is>
          <t>🔵 Cefepime</t>
        </is>
      </c>
      <c r="B11" s="44" t="inlineStr">
        <is>
          <t>2g IV q8h</t>
        </is>
      </c>
      <c r="C11" s="44" t="inlineStr">
        <is>
          <t>2g q8–12h</t>
        </is>
      </c>
      <c r="D11" s="44" t="inlineStr">
        <is>
          <t>2g q12h</t>
        </is>
      </c>
      <c r="E11" s="44" t="inlineStr">
        <is>
          <t>1–2g q24h</t>
        </is>
      </c>
      <c r="F11" s="44" t="inlineStr">
        <is>
          <t>pós-HD</t>
        </is>
      </c>
      <c r="G11" s="44" t="inlineStr">
        <is>
          <t>ajustar CRRT</t>
        </is>
      </c>
      <c r="H11" s="44" t="inlineStr">
        <is>
          <t>Sim</t>
        </is>
      </c>
      <c r="I11" s="44" t="inlineStr">
        <is>
          <t>Neurotoxicidade</t>
        </is>
      </c>
      <c r="J11" s="97" t="inlineStr">
        <is>
          <t>Encefalopatia/mioclonia em IRA — muito subestimado!</t>
        </is>
      </c>
      <c r="K11" s="99" t="inlineStr">
        <is>
          <t>Stanford/UCSF</t>
        </is>
      </c>
    </row>
    <row r="12" ht="24" customHeight="1">
      <c r="A12" s="59" t="inlineStr">
        <is>
          <t>🔵 Pip-Taz</t>
        </is>
      </c>
      <c r="B12" s="30" t="inlineStr">
        <is>
          <t>4,5g IV q6–8h</t>
        </is>
      </c>
      <c r="C12" s="30" t="inlineStr">
        <is>
          <t>4,5g q6–8h</t>
        </is>
      </c>
      <c r="D12" s="30" t="inlineStr">
        <is>
          <t>ajustar intervalo</t>
        </is>
      </c>
      <c r="E12" s="30" t="inlineStr">
        <is>
          <t>ajustar intervalo</t>
        </is>
      </c>
      <c r="F12" s="30" t="inlineStr">
        <is>
          <t>pós-HD</t>
        </is>
      </c>
      <c r="G12" s="30" t="inlineStr">
        <is>
          <t>ext.dose CRRT</t>
        </is>
      </c>
      <c r="H12" s="30" t="inlineStr">
        <is>
          <t>Sim</t>
        </is>
      </c>
      <c r="I12" s="30" t="inlineStr">
        <is>
          <t>Na, K, função renal</t>
        </is>
      </c>
      <c r="J12" s="97" t="inlineStr">
        <is>
          <t>Carga de sódio; ajustar em IRA</t>
        </is>
      </c>
      <c r="K12" s="99" t="inlineStr">
        <is>
          <t>Stanford/UCSF</t>
        </is>
      </c>
    </row>
    <row r="13" ht="24" customHeight="1">
      <c r="A13" s="59" t="inlineStr">
        <is>
          <t>🟠 Meropenem</t>
        </is>
      </c>
      <c r="B13" s="44" t="inlineStr">
        <is>
          <t>1–2g IV q8h</t>
        </is>
      </c>
      <c r="C13" s="44" t="inlineStr">
        <is>
          <t>1–2g q8h</t>
        </is>
      </c>
      <c r="D13" s="44" t="inlineStr">
        <is>
          <t>1g q12h</t>
        </is>
      </c>
      <c r="E13" s="44" t="inlineStr">
        <is>
          <t>500mg–1g q12–24h</t>
        </is>
      </c>
      <c r="F13" s="44" t="inlineStr">
        <is>
          <t>pós-HD</t>
        </is>
      </c>
      <c r="G13" s="44" t="inlineStr">
        <is>
          <t>dose alta/ext</t>
        </is>
      </c>
      <c r="H13" s="44" t="inlineStr">
        <is>
          <t>Sim</t>
        </is>
      </c>
      <c r="I13" s="44" t="inlineStr">
        <is>
          <t>Neurotox</t>
        </is>
      </c>
      <c r="J13" s="97" t="inlineStr">
        <is>
          <t>Meningite 2g q8h; ajustar MIC</t>
        </is>
      </c>
      <c r="K13" s="99" t="inlineStr">
        <is>
          <t>Stanford/UCSF</t>
        </is>
      </c>
    </row>
    <row r="14" ht="24" customHeight="1">
      <c r="A14" s="59" t="inlineStr">
        <is>
          <t>🟠 Imipenem-Cil</t>
        </is>
      </c>
      <c r="B14" s="30" t="inlineStr">
        <is>
          <t>500mg IV q6h</t>
        </is>
      </c>
      <c r="C14" s="30" t="inlineStr">
        <is>
          <t>usual</t>
        </is>
      </c>
      <c r="D14" s="30" t="inlineStr">
        <is>
          <t>reduzir</t>
        </is>
      </c>
      <c r="E14" s="30" t="inlineStr">
        <is>
          <t>reduzir</t>
        </is>
      </c>
      <c r="F14" s="30" t="inlineStr">
        <is>
          <t>pós-HD</t>
        </is>
      </c>
      <c r="G14" s="30" t="inlineStr">
        <is>
          <t>ajustar</t>
        </is>
      </c>
      <c r="H14" s="30" t="inlineStr">
        <is>
          <t>Sim</t>
        </is>
      </c>
      <c r="I14" s="30" t="inlineStr">
        <is>
          <t>Convulsões</t>
        </is>
      </c>
      <c r="J14" s="97" t="inlineStr">
        <is>
          <t>Evitar altas doses em IRA/SNC</t>
        </is>
      </c>
      <c r="K14" s="99" t="inlineStr">
        <is>
          <t>Stanford/UCSF</t>
        </is>
      </c>
    </row>
    <row r="15" ht="24" customHeight="1">
      <c r="A15" s="59" t="inlineStr">
        <is>
          <t>🔴 Vancomicina</t>
        </is>
      </c>
      <c r="B15" s="44" t="inlineStr">
        <is>
          <t>15–20mg/kg; ataque 20–25mg/kg</t>
        </is>
      </c>
      <c r="C15" s="44" t="inlineStr">
        <is>
          <t>TDM AUC/MIC</t>
        </is>
      </c>
      <c r="D15" s="44" t="inlineStr">
        <is>
          <t>TDM AUC</t>
        </is>
      </c>
      <c r="E15" s="44" t="inlineStr">
        <is>
          <t>TDM AUC</t>
        </is>
      </c>
      <c r="F15" s="44" t="inlineStr">
        <is>
          <t>nível pós-HD</t>
        </is>
      </c>
      <c r="G15" s="44" t="inlineStr">
        <is>
          <t>TDM frequente</t>
        </is>
      </c>
      <c r="H15" s="44" t="inlineStr">
        <is>
          <t>Sim</t>
        </is>
      </c>
      <c r="I15" s="44" t="inlineStr">
        <is>
          <t>AUC/MIC ou nível</t>
        </is>
      </c>
      <c r="J15" s="97" t="inlineStr">
        <is>
          <t>Nefrotox; obesidade: ajustar peso; meta AUC 400–600</t>
        </is>
      </c>
      <c r="K15" s="99" t="inlineStr">
        <is>
          <t>Stanford/UCSF</t>
        </is>
      </c>
    </row>
    <row r="16" ht="24" customHeight="1">
      <c r="A16" s="59" t="inlineStr">
        <is>
          <t>🟡 Linezolida</t>
        </is>
      </c>
      <c r="B16" s="30" t="inlineStr">
        <is>
          <t>600mg IV/VO q12h</t>
        </is>
      </c>
      <c r="C16" s="30" t="inlineStr">
        <is>
          <t>sem ajuste</t>
        </is>
      </c>
      <c r="D16" s="30" t="inlineStr">
        <is>
          <t>sem ajuste</t>
        </is>
      </c>
      <c r="E16" s="30" t="inlineStr">
        <is>
          <t>sem ajuste</t>
        </is>
      </c>
      <c r="F16" s="30" t="inlineStr">
        <is>
          <t>sem ajuste</t>
        </is>
      </c>
      <c r="G16" s="30" t="inlineStr">
        <is>
          <t>sem ajuste</t>
        </is>
      </c>
      <c r="H16" s="30" t="inlineStr">
        <is>
          <t>Não usual</t>
        </is>
      </c>
      <c r="I16" s="30" t="inlineStr">
        <is>
          <t>Plaquetas/lactato</t>
        </is>
      </c>
      <c r="J16" s="97" t="inlineStr">
        <is>
          <t>Trombocitopenia &gt;10d; serotoninérgicos</t>
        </is>
      </c>
      <c r="K16" s="99" t="inlineStr">
        <is>
          <t>Stanford/UCSF</t>
        </is>
      </c>
    </row>
    <row r="17" ht="24" customHeight="1">
      <c r="A17" s="59" t="inlineStr">
        <is>
          <t>🔵 Levofloxacino</t>
        </is>
      </c>
      <c r="B17" s="44" t="inlineStr">
        <is>
          <t>750mg IV/VO q24h</t>
        </is>
      </c>
      <c r="C17" s="44" t="inlineStr">
        <is>
          <t>usual</t>
        </is>
      </c>
      <c r="D17" s="44" t="inlineStr">
        <is>
          <t>750mg q48h</t>
        </is>
      </c>
      <c r="E17" s="44" t="inlineStr">
        <is>
          <t>500–750mg inicial →q48h</t>
        </is>
      </c>
      <c r="F17" s="44" t="inlineStr">
        <is>
          <t>pós-HD</t>
        </is>
      </c>
      <c r="G17" s="44" t="inlineStr">
        <is>
          <t>ajustar</t>
        </is>
      </c>
      <c r="H17" s="44" t="inlineStr">
        <is>
          <t>Sim</t>
        </is>
      </c>
      <c r="I17" s="44" t="inlineStr">
        <is>
          <t>QT, tendão, SNC</t>
        </is>
      </c>
      <c r="J17" s="97" t="inlineStr">
        <is>
          <t>Ajuste renal importante; evitar QT alto</t>
        </is>
      </c>
      <c r="K17" s="99" t="inlineStr">
        <is>
          <t>Stanford/UCSF</t>
        </is>
      </c>
    </row>
    <row r="18" ht="24" customHeight="1">
      <c r="A18" s="59" t="inlineStr">
        <is>
          <t>🔵 Ciprofloxacino</t>
        </is>
      </c>
      <c r="B18" s="30" t="inlineStr">
        <is>
          <t>400mg IV q8–12h</t>
        </is>
      </c>
      <c r="C18" s="30" t="inlineStr">
        <is>
          <t>usual</t>
        </is>
      </c>
      <c r="D18" s="30" t="inlineStr">
        <is>
          <t>q12–24h</t>
        </is>
      </c>
      <c r="E18" s="30" t="inlineStr">
        <is>
          <t>q24h</t>
        </is>
      </c>
      <c r="F18" s="30" t="inlineStr">
        <is>
          <t>pós-HD</t>
        </is>
      </c>
      <c r="G18" s="30" t="inlineStr">
        <is>
          <t>ajustar</t>
        </is>
      </c>
      <c r="H18" s="30" t="inlineStr">
        <is>
          <t>Sim</t>
        </is>
      </c>
      <c r="I18" s="30" t="inlineStr">
        <is>
          <t>QT/SNC</t>
        </is>
      </c>
      <c r="J18" s="97" t="inlineStr">
        <is>
          <t>Resistência local; interações</t>
        </is>
      </c>
      <c r="K18" s="99" t="inlineStr">
        <is>
          <t>Stanford/UCSF</t>
        </is>
      </c>
    </row>
    <row r="19" ht="24" customHeight="1">
      <c r="A19" s="59" t="inlineStr">
        <is>
          <t>🟡 Fluconazol</t>
        </is>
      </c>
      <c r="B19" s="44" t="inlineStr">
        <is>
          <t>400–800mg ataque →q24h</t>
        </is>
      </c>
      <c r="C19" s="44" t="inlineStr">
        <is>
          <t>usual</t>
        </is>
      </c>
      <c r="D19" s="44" t="inlineStr">
        <is>
          <t>50% manutenção</t>
        </is>
      </c>
      <c r="E19" s="44" t="inlineStr">
        <is>
          <t>50% manutenção</t>
        </is>
      </c>
      <c r="F19" s="44" t="inlineStr">
        <is>
          <t>pós-HD</t>
        </is>
      </c>
      <c r="G19" s="44" t="inlineStr">
        <is>
          <t>ajustar</t>
        </is>
      </c>
      <c r="H19" s="44" t="inlineStr">
        <is>
          <t>Sim (ataque plena)</t>
        </is>
      </c>
      <c r="I19" s="44" t="inlineStr">
        <is>
          <t>QT, TGO/TGP</t>
        </is>
      </c>
      <c r="J19" s="97" t="inlineStr">
        <is>
          <t>Dose ataque plena independente da função renal</t>
        </is>
      </c>
      <c r="K19" s="99" t="inlineStr">
        <is>
          <t>Stanford/UCSF</t>
        </is>
      </c>
    </row>
    <row r="20" ht="24" customHeight="1">
      <c r="A20" s="59" t="inlineStr">
        <is>
          <t>🟡 Acyclovir IV</t>
        </is>
      </c>
      <c r="B20" s="30" t="inlineStr">
        <is>
          <t>5–10mg/kg q8h</t>
        </is>
      </c>
      <c r="C20" s="30" t="inlineStr">
        <is>
          <t>usual</t>
        </is>
      </c>
      <c r="D20" s="30" t="inlineStr">
        <is>
          <t>q12h</t>
        </is>
      </c>
      <c r="E20" s="30" t="inlineStr">
        <is>
          <t>q24h</t>
        </is>
      </c>
      <c r="F20" s="30" t="inlineStr">
        <is>
          <t>pós-HD</t>
        </is>
      </c>
      <c r="G20" s="30" t="inlineStr">
        <is>
          <t>ajustar</t>
        </is>
      </c>
      <c r="H20" s="30" t="inlineStr">
        <is>
          <t>Sim</t>
        </is>
      </c>
      <c r="I20" s="30" t="inlineStr">
        <is>
          <t>Cristalúria/neuro</t>
        </is>
      </c>
      <c r="J20" s="97" t="inlineStr">
        <is>
          <t>Hidratação obrigatória; ajustar peso em obesidade</t>
        </is>
      </c>
      <c r="K20" s="99" t="inlineStr">
        <is>
          <t>UCSF</t>
        </is>
      </c>
    </row>
    <row r="21" ht="24" customHeight="1">
      <c r="A21" s="59" t="inlineStr">
        <is>
          <t>🔴 TMP-SMX</t>
        </is>
      </c>
      <c r="B21" s="44" t="inlineStr">
        <is>
          <t>Dose TMP mg/kg/dia</t>
        </is>
      </c>
      <c r="C21" s="44" t="inlineStr">
        <is>
          <t>usual</t>
        </is>
      </c>
      <c r="D21" s="44" t="inlineStr">
        <is>
          <t>reduzir</t>
        </is>
      </c>
      <c r="E21" s="44" t="inlineStr">
        <is>
          <t>evitar/individ</t>
        </is>
      </c>
      <c r="F21" s="44" t="inlineStr">
        <is>
          <t>pós-HD</t>
        </is>
      </c>
      <c r="G21" s="44" t="inlineStr">
        <is>
          <t>ajustar</t>
        </is>
      </c>
      <c r="H21" s="44" t="inlineStr">
        <is>
          <t>Sim</t>
        </is>
      </c>
      <c r="I21" s="44" t="inlineStr">
        <is>
          <t>K, Cr, citopenia</t>
        </is>
      </c>
      <c r="J21" s="97" t="inlineStr">
        <is>
          <t>Hipercalemia; nefrotox aparente; folato</t>
        </is>
      </c>
      <c r="K21" s="99" t="inlineStr">
        <is>
          <t>Stanford</t>
        </is>
      </c>
    </row>
    <row r="22" ht="24" customHeight="1">
      <c r="A22" s="59" t="inlineStr">
        <is>
          <t>🔵 Metronidazol</t>
        </is>
      </c>
      <c r="B22" s="30" t="inlineStr">
        <is>
          <t>500mg q8–12h</t>
        </is>
      </c>
      <c r="C22" s="30" t="inlineStr">
        <is>
          <t>sem ajuste</t>
        </is>
      </c>
      <c r="D22" s="30" t="inlineStr">
        <is>
          <t>sem ajuste</t>
        </is>
      </c>
      <c r="E22" s="30" t="inlineStr">
        <is>
          <t>sem ajuste</t>
        </is>
      </c>
      <c r="F22" s="30" t="inlineStr">
        <is>
          <t>pós-HD (se dose)</t>
        </is>
      </c>
      <c r="G22" s="30" t="inlineStr">
        <is>
          <t>sem ajuste usual</t>
        </is>
      </c>
      <c r="H22" s="30" t="inlineStr">
        <is>
          <t>Não</t>
        </is>
      </c>
      <c r="I22" s="30" t="inlineStr">
        <is>
          <t>Neuro se prolongado</t>
        </is>
      </c>
      <c r="J22" s="97" t="inlineStr">
        <is>
          <t>Cuidado hepatopatia; evitar &gt;10–14 dias</t>
        </is>
      </c>
      <c r="K22" s="99" t="inlineStr">
        <is>
          <t>Stanford</t>
        </is>
      </c>
    </row>
    <row r="23" ht="24" customHeight="1">
      <c r="A23" s="59" t="inlineStr">
        <is>
          <t>🔵 Ampicilina-Sul</t>
        </is>
      </c>
      <c r="B23" s="44" t="inlineStr">
        <is>
          <t>3g IV q6h</t>
        </is>
      </c>
      <c r="C23" s="44" t="inlineStr">
        <is>
          <t>usual</t>
        </is>
      </c>
      <c r="D23" s="44" t="inlineStr">
        <is>
          <t>1,5–3g q12h</t>
        </is>
      </c>
      <c r="E23" s="44" t="inlineStr">
        <is>
          <t>1,5–3g q24h</t>
        </is>
      </c>
      <c r="F23" s="44" t="inlineStr">
        <is>
          <t>pós-HD</t>
        </is>
      </c>
      <c r="G23" s="44" t="inlineStr">
        <is>
          <t>ajustar</t>
        </is>
      </c>
      <c r="H23" s="44" t="inlineStr">
        <is>
          <t>Sim</t>
        </is>
      </c>
      <c r="I23" s="44" t="inlineStr">
        <is>
          <t>Exantema</t>
        </is>
      </c>
      <c r="J23" s="97" t="inlineStr">
        <is>
          <t>Alta resistência em muitos serviços — confirmar antibiograma</t>
        </is>
      </c>
      <c r="K23" s="99" t="inlineStr">
        <is>
          <t>Stanford</t>
        </is>
      </c>
    </row>
    <row r="24" ht="24" customHeight="1">
      <c r="A24" s="59" t="inlineStr">
        <is>
          <t>🟠 Polimixina B</t>
        </is>
      </c>
      <c r="B24" s="30" t="inlineStr">
        <is>
          <t>1,25–2,5mg/kg/dia</t>
        </is>
      </c>
      <c r="C24" s="30" t="inlineStr">
        <is>
          <t>ajustar</t>
        </is>
      </c>
      <c r="D24" s="30" t="inlineStr">
        <is>
          <t>ajustar</t>
        </is>
      </c>
      <c r="E24" s="30" t="inlineStr">
        <is>
          <t>ajustar</t>
        </is>
      </c>
      <c r="F24" s="30" t="inlineStr">
        <is>
          <t>sem ajuste usual</t>
        </is>
      </c>
      <c r="G24" s="30" t="inlineStr">
        <is>
          <t>ajustar</t>
        </is>
      </c>
      <c r="H24" s="30" t="inlineStr">
        <is>
          <t>Sim (ataque discutível)</t>
        </is>
      </c>
      <c r="I24" s="30" t="inlineStr">
        <is>
          <t>Nefrotox</t>
        </is>
      </c>
      <c r="J24" s="97" t="inlineStr">
        <is>
          <t>Infusão lenta; monitorar Cr diariamente; evitar nefrotóxicos</t>
        </is>
      </c>
      <c r="K24" s="99" t="inlineStr">
        <is>
          <t>UCSF/BSAC</t>
        </is>
      </c>
    </row>
  </sheetData>
  <mergeCells count="5">
    <mergeCell ref="A2:V2"/>
    <mergeCell ref="A1:V1"/>
    <mergeCell ref="A3:E3"/>
    <mergeCell ref="A6:E6"/>
    <mergeCell ref="A8:K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45309"/>
    <outlinePr summaryBelow="1" summaryRight="1"/>
    <pageSetUpPr/>
  </sheetPr>
  <dimension ref="A1:V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16" customWidth="1" min="4" max="4"/>
    <col width="16" customWidth="1" min="5" max="5"/>
    <col width="14" customWidth="1" min="6" max="6"/>
    <col width="12" customWidth="1" min="7" max="7"/>
    <col width="28" customWidth="1" min="8" max="8"/>
    <col width="36" customWidth="1" min="9" max="9"/>
    <col width="16" customWidth="1" min="10" max="10"/>
  </cols>
  <sheetData>
    <row r="1" ht="28" customHeight="1">
      <c r="A1" s="1" t="inlineStr">
        <is>
          <t xml:space="preserve">  🏥  MEDICAÇÕES NÃO-ATB — AJUSTE RENAL / IRA / DRC</t>
        </is>
      </c>
    </row>
    <row r="2" ht="16" customHeight="1">
      <c r="A2" s="2" t="inlineStr">
        <is>
          <t xml:space="preserve">  ⚙️  Levetiracetam · Gabapentina · Morfina · Digoxina · Insulina + 20 fármacos  |  Dr. Aldenir Rocha · HRN &amp; Santa Casa Sobral-CE · v2026.1</t>
        </is>
      </c>
    </row>
    <row r="3">
      <c r="A3" s="100" t="inlineStr">
        <is>
          <t>💊  FÁRMACOS NÃO-ANTIBIÓTICOS — AJUSTE NA DISFUNÇÃO RENAL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A4" s="3" t="inlineStr">
        <is>
          <t>Medicamento</t>
        </is>
      </c>
      <c r="B4" s="3" t="inlineStr">
        <is>
          <t>Uso clínico</t>
        </is>
      </c>
      <c r="C4" s="3" t="inlineStr">
        <is>
          <t>Dose usual</t>
        </is>
      </c>
      <c r="D4" s="3" t="inlineStr">
        <is>
          <t>CrCl 50–80</t>
        </is>
      </c>
      <c r="E4" s="3" t="inlineStr">
        <is>
          <t>CrCl 30–49</t>
        </is>
      </c>
      <c r="F4" s="3" t="inlineStr">
        <is>
          <t>CrCl &lt;30</t>
        </is>
      </c>
      <c r="G4" s="3" t="inlineStr">
        <is>
          <t>HD</t>
        </is>
      </c>
      <c r="H4" s="3" t="inlineStr">
        <is>
          <t>Toxicidade-alvo</t>
        </is>
      </c>
      <c r="I4" s="3" t="inlineStr">
        <is>
          <t>Conduta prática</t>
        </is>
      </c>
      <c r="J4" s="3" t="inlineStr">
        <is>
          <t>Fonte</t>
        </is>
      </c>
    </row>
    <row r="5" ht="24" customHeight="1">
      <c r="A5" s="59" t="inlineStr">
        <is>
          <t>💊 Levetiracetam</t>
        </is>
      </c>
      <c r="B5" s="30" t="inlineStr">
        <is>
          <t>Convulsão/profilaxia neuro</t>
        </is>
      </c>
      <c r="C5" s="30" t="inlineStr">
        <is>
          <t>500–1500mg q12h</t>
        </is>
      </c>
      <c r="D5" s="30" t="inlineStr">
        <is>
          <t>500–1000mg q12h</t>
        </is>
      </c>
      <c r="E5" s="30" t="inlineStr">
        <is>
          <t>250–750mg q12h</t>
        </is>
      </c>
      <c r="F5" s="30" t="inlineStr">
        <is>
          <t>250–500mg q12h</t>
        </is>
      </c>
      <c r="G5" s="30" t="inlineStr">
        <is>
          <t>500–1000mg q24h + 250–500mg pós-HD</t>
        </is>
      </c>
      <c r="H5" s="97" t="inlineStr">
        <is>
          <t>Sonolência, agitação, psicose</t>
        </is>
      </c>
      <c r="I5" s="30" t="inlineStr">
        <is>
          <t>Ataque geralmente preservado; ajustar manutenção por CrCl</t>
        </is>
      </c>
      <c r="J5" s="99" t="inlineStr">
        <is>
          <t>FDA/Pfizer/StatPearls</t>
        </is>
      </c>
    </row>
    <row r="6" ht="24" customHeight="1">
      <c r="A6" s="59" t="inlineStr">
        <is>
          <t>💊 Gabapentina</t>
        </is>
      </c>
      <c r="B6" s="44" t="inlineStr">
        <is>
          <t>Dor neuropática/convulsão</t>
        </is>
      </c>
      <c r="C6" s="44" t="inlineStr">
        <is>
          <t>300mg 1–3x/d</t>
        </is>
      </c>
      <c r="D6" s="44" t="inlineStr">
        <is>
          <t>reduzir intervalo</t>
        </is>
      </c>
      <c r="E6" s="44" t="inlineStr">
        <is>
          <t>100–300mg 3x/d</t>
        </is>
      </c>
      <c r="F6" s="44" t="inlineStr">
        <is>
          <t>100–300mg 1x/d</t>
        </is>
      </c>
      <c r="G6" s="44" t="inlineStr">
        <is>
          <t>100–300mg pós-HD</t>
        </is>
      </c>
      <c r="H6" s="97" t="inlineStr">
        <is>
          <t>Confusão, mioclonia, sedação</t>
        </is>
      </c>
      <c r="I6" s="44" t="inlineStr">
        <is>
          <t>Evitar escalonamento rápido em IRA; acumula muito</t>
        </is>
      </c>
      <c r="J6" s="99" t="inlineStr">
        <is>
          <t>Renal ref.</t>
        </is>
      </c>
    </row>
    <row r="7" ht="24" customHeight="1">
      <c r="A7" s="59" t="inlineStr">
        <is>
          <t>💊 Pregabalina</t>
        </is>
      </c>
      <c r="B7" s="30" t="inlineStr">
        <is>
          <t>Dor neuropática</t>
        </is>
      </c>
      <c r="C7" s="30" t="inlineStr">
        <is>
          <t>75mg 2x/d</t>
        </is>
      </c>
      <c r="D7" s="30" t="inlineStr">
        <is>
          <t>50–75mg 2x/d</t>
        </is>
      </c>
      <c r="E7" s="30" t="inlineStr">
        <is>
          <t>25–75mg 1–2x/d</t>
        </is>
      </c>
      <c r="F7" s="30" t="inlineStr">
        <is>
          <t>25mg 1x/d</t>
        </is>
      </c>
      <c r="G7" s="30" t="inlineStr">
        <is>
          <t>25–50mg pós-HD</t>
        </is>
      </c>
      <c r="H7" s="97" t="inlineStr">
        <is>
          <t>Sedação, edema, confusão</t>
        </is>
      </c>
      <c r="I7" s="30" t="inlineStr">
        <is>
          <t>Ajustar rigoroso por CrCl; TDAH/ansiedade — cautela</t>
        </is>
      </c>
      <c r="J7" s="99" t="inlineStr">
        <is>
          <t>Renal ref.</t>
        </is>
      </c>
    </row>
    <row r="8" ht="24" customHeight="1">
      <c r="A8" s="59" t="inlineStr">
        <is>
          <t>😴 Morfina</t>
        </is>
      </c>
      <c r="B8" s="44" t="inlineStr">
        <is>
          <t>Dor, dispneia</t>
        </is>
      </c>
      <c r="C8" s="44" t="inlineStr">
        <is>
          <t>Individual</t>
        </is>
      </c>
      <c r="D8" s="44" t="inlineStr">
        <is>
          <t>Cautela</t>
        </is>
      </c>
      <c r="E8" s="44" t="inlineStr">
        <is>
          <t>Reduzir/evitar</t>
        </is>
      </c>
      <c r="F8" s="56" t="inlineStr">
        <is>
          <t>EVITAR</t>
        </is>
      </c>
      <c r="G8" s="56" t="inlineStr">
        <is>
          <t>EVITAR</t>
        </is>
      </c>
      <c r="H8" s="97" t="inlineStr">
        <is>
          <t>M6G: sedação, depressão resp</t>
        </is>
      </c>
      <c r="I8" s="44" t="inlineStr">
        <is>
          <t>IRA: M6G acumula → coma; preferir fentanil/remifentanil</t>
        </is>
      </c>
      <c r="J8" s="99" t="inlineStr">
        <is>
          <t>Farmacologia</t>
        </is>
      </c>
    </row>
    <row r="9" ht="24" customHeight="1">
      <c r="A9" s="59" t="inlineStr">
        <is>
          <t>😴 Tramadol</t>
        </is>
      </c>
      <c r="B9" s="30" t="inlineStr">
        <is>
          <t>Dor</t>
        </is>
      </c>
      <c r="C9" s="30" t="inlineStr">
        <is>
          <t>50–100mg q6h</t>
        </is>
      </c>
      <c r="D9" s="30" t="inlineStr">
        <is>
          <t>Cautela</t>
        </is>
      </c>
      <c r="E9" s="30" t="inlineStr">
        <is>
          <t>q12h, reduzir dose</t>
        </is>
      </c>
      <c r="F9" s="30" t="inlineStr">
        <is>
          <t>q12h máx dose baixa</t>
        </is>
      </c>
      <c r="G9" s="30" t="inlineStr">
        <is>
          <t>Evitar</t>
        </is>
      </c>
      <c r="H9" s="97" t="inlineStr">
        <is>
          <t>Convulsão, delirium</t>
        </is>
      </c>
      <c r="I9" s="30" t="inlineStr">
        <is>
          <t>Evitar em risco de convulsão e delirium em idosos</t>
        </is>
      </c>
      <c r="J9" s="99" t="inlineStr">
        <is>
          <t>Renal ref.</t>
        </is>
      </c>
    </row>
    <row r="10" ht="24" customHeight="1">
      <c r="A10" s="59" t="inlineStr">
        <is>
          <t>😴 Codeína</t>
        </is>
      </c>
      <c r="B10" s="44" t="inlineStr">
        <is>
          <t>Dor, tosse</t>
        </is>
      </c>
      <c r="C10" s="44" t="inlineStr">
        <is>
          <t>30–60mg q4–6h</t>
        </is>
      </c>
      <c r="D10" s="44" t="inlineStr">
        <is>
          <t>Cautela</t>
        </is>
      </c>
      <c r="E10" s="44" t="inlineStr">
        <is>
          <t>Evitar</t>
        </is>
      </c>
      <c r="F10" s="56" t="inlineStr">
        <is>
          <t>EVITAR</t>
        </is>
      </c>
      <c r="G10" s="56" t="inlineStr">
        <is>
          <t>EVITAR</t>
        </is>
      </c>
      <c r="H10" s="97" t="inlineStr">
        <is>
          <t>Metabólito tóxico acumula</t>
        </is>
      </c>
      <c r="I10" s="44" t="inlineStr">
        <is>
          <t>Evitar em DRC — metabólitos neurotóxicos</t>
        </is>
      </c>
      <c r="J10" s="99" t="inlineStr">
        <is>
          <t>Farmacologia</t>
        </is>
      </c>
    </row>
    <row r="11" ht="24" customHeight="1">
      <c r="A11" s="59" t="inlineStr">
        <is>
          <t>💊 Fenitoína IV</t>
        </is>
      </c>
      <c r="B11" s="30" t="inlineStr">
        <is>
          <t>Convulsão</t>
        </is>
      </c>
      <c r="C11" s="30" t="inlineStr">
        <is>
          <t>15–20mg/kg ataque</t>
        </is>
      </c>
      <c r="D11" s="30" t="inlineStr">
        <is>
          <t>sem ajuste (proteínas!)</t>
        </is>
      </c>
      <c r="E11" s="30" t="inlineStr">
        <is>
          <t>ajustar livre</t>
        </is>
      </c>
      <c r="F11" s="30" t="inlineStr">
        <is>
          <t>ajustar livre</t>
        </is>
      </c>
      <c r="G11" s="30" t="inlineStr">
        <is>
          <t>sem ajuste diálise</t>
        </is>
      </c>
      <c r="H11" s="97" t="inlineStr">
        <is>
          <t>Nistagmo, ataxia, cardiotox</t>
        </is>
      </c>
      <c r="I11" s="30" t="inlineStr">
        <is>
          <t>Monitorar nível livre (DRC altera ligação proteínas)</t>
        </is>
      </c>
      <c r="J11" s="99" t="inlineStr">
        <is>
          <t>Epilepsy Found.</t>
        </is>
      </c>
    </row>
    <row r="12" ht="24" customHeight="1">
      <c r="A12" s="59" t="inlineStr">
        <is>
          <t>💊 Fenobarbital</t>
        </is>
      </c>
      <c r="B12" s="44" t="inlineStr">
        <is>
          <t>Status/convulsão refratária</t>
        </is>
      </c>
      <c r="C12" s="44" t="inlineStr">
        <is>
          <t>20mg/kg ataque</t>
        </is>
      </c>
      <c r="D12" s="44" t="inlineStr">
        <is>
          <t>sem ajuste usual</t>
        </is>
      </c>
      <c r="E12" s="44" t="inlineStr">
        <is>
          <t>sem ajuste usual</t>
        </is>
      </c>
      <c r="F12" s="44" t="inlineStr">
        <is>
          <t>Cautela</t>
        </is>
      </c>
      <c r="G12" s="44" t="inlineStr">
        <is>
          <t>pós-HD supplement.</t>
        </is>
      </c>
      <c r="H12" s="97" t="inlineStr">
        <is>
          <t>Sedação profunda</t>
        </is>
      </c>
      <c r="I12" s="44" t="inlineStr">
        <is>
          <t>Meia-vida muito longa — acúmulo em IRA crônica</t>
        </is>
      </c>
      <c r="J12" s="99" t="inlineStr">
        <is>
          <t>Farmacologia</t>
        </is>
      </c>
    </row>
    <row r="13" ht="24" customHeight="1">
      <c r="A13" s="59" t="inlineStr">
        <is>
          <t>❤️ Digoxina</t>
        </is>
      </c>
      <c r="B13" s="30" t="inlineStr">
        <is>
          <t>FA/IC selecionado</t>
        </is>
      </c>
      <c r="C13" s="30" t="inlineStr">
        <is>
          <t>0,125–0,25mg/d</t>
        </is>
      </c>
      <c r="D13" s="30" t="inlineStr">
        <is>
          <t>Reduzir 25–50%</t>
        </is>
      </c>
      <c r="E13" s="30" t="inlineStr">
        <is>
          <t>0,125mg/d ou alt</t>
        </is>
      </c>
      <c r="F13" s="30" t="inlineStr">
        <is>
          <t>Dose baixa/nível</t>
        </is>
      </c>
      <c r="G13" s="30" t="inlineStr">
        <is>
          <t>Não remove bem</t>
        </is>
      </c>
      <c r="H13" s="97" t="inlineStr">
        <is>
          <t>Arritmia, náusea, visão</t>
        </is>
      </c>
      <c r="I13" s="30" t="inlineStr">
        <is>
          <t>Monitor nível/K/Mg/Cr; cuidado idoso e IRA</t>
        </is>
      </c>
      <c r="J13" s="99" t="inlineStr">
        <is>
          <t>Farmacologia</t>
        </is>
      </c>
    </row>
    <row r="14" ht="24" customHeight="1">
      <c r="A14" s="59" t="inlineStr">
        <is>
          <t>❤️ Atenolol</t>
        </is>
      </c>
      <c r="B14" s="44" t="inlineStr">
        <is>
          <t>HAS/arritmia</t>
        </is>
      </c>
      <c r="C14" s="44" t="inlineStr">
        <is>
          <t>25–100mg/d</t>
        </is>
      </c>
      <c r="D14" s="44" t="inlineStr">
        <is>
          <t>Reduzir</t>
        </is>
      </c>
      <c r="E14" s="44" t="inlineStr">
        <is>
          <t>50mg/d máx</t>
        </is>
      </c>
      <c r="F14" s="44" t="inlineStr">
        <is>
          <t>25mg/d</t>
        </is>
      </c>
      <c r="G14" s="44" t="inlineStr">
        <is>
          <t>Pós-HD suplementar</t>
        </is>
      </c>
      <c r="H14" s="97" t="inlineStr">
        <is>
          <t>Bradicardia, broncoespasmo</t>
        </is>
      </c>
      <c r="I14" s="44" t="inlineStr">
        <is>
          <t>Prefira betabloq com excreção hepática (metroprolol) em IRA</t>
        </is>
      </c>
      <c r="J14" s="99" t="inlineStr">
        <is>
          <t>Renal ref.</t>
        </is>
      </c>
    </row>
    <row r="15" ht="24" customHeight="1">
      <c r="A15" s="59" t="inlineStr">
        <is>
          <t>❤️ Sotalol</t>
        </is>
      </c>
      <c r="B15" s="30" t="inlineStr">
        <is>
          <t>FA</t>
        </is>
      </c>
      <c r="C15" s="30" t="inlineStr">
        <is>
          <t>80–160mg q12h</t>
        </is>
      </c>
      <c r="D15" s="30" t="inlineStr">
        <is>
          <t>Reduzir</t>
        </is>
      </c>
      <c r="E15" s="30" t="inlineStr">
        <is>
          <t>q24h</t>
        </is>
      </c>
      <c r="F15" s="56" t="inlineStr">
        <is>
          <t>EVITAR CrCl&lt;40</t>
        </is>
      </c>
      <c r="G15" s="30" t="inlineStr">
        <is>
          <t>Não usar</t>
        </is>
      </c>
      <c r="H15" s="97" t="inlineStr">
        <is>
          <t>Torsades/QT longo</t>
        </is>
      </c>
      <c r="I15" s="30" t="inlineStr">
        <is>
          <t>⚠️ Evitar CrCl&lt;40 — risco torsades fatal</t>
        </is>
      </c>
      <c r="J15" s="99" t="inlineStr">
        <is>
          <t>Bula/Stanford</t>
        </is>
      </c>
    </row>
    <row r="16" ht="24" customHeight="1">
      <c r="A16" s="59" t="inlineStr">
        <is>
          <t>🩺 Metoclopramida</t>
        </is>
      </c>
      <c r="B16" s="44" t="inlineStr">
        <is>
          <t>Náusea/gastroparesia</t>
        </is>
      </c>
      <c r="C16" s="44" t="inlineStr">
        <is>
          <t>10mg q6–8h</t>
        </is>
      </c>
      <c r="D16" s="44" t="inlineStr">
        <is>
          <t>Usual/cautela</t>
        </is>
      </c>
      <c r="E16" s="44" t="inlineStr">
        <is>
          <t>Reduzir 50%</t>
        </is>
      </c>
      <c r="F16" s="44" t="inlineStr">
        <is>
          <t>Reduzir 50–75%</t>
        </is>
      </c>
      <c r="G16" s="44" t="inlineStr">
        <is>
          <t>Cautela</t>
        </is>
      </c>
      <c r="H16" s="97" t="inlineStr">
        <is>
          <t>Extrapiramidal, sedação</t>
        </is>
      </c>
      <c r="I16" s="44" t="inlineStr">
        <is>
          <t>Reduzir em IRA moderada-grave; cursos curtos</t>
        </is>
      </c>
      <c r="J16" s="99" t="inlineStr">
        <is>
          <t>Bula/renal ref.</t>
        </is>
      </c>
    </row>
    <row r="17" ht="24" customHeight="1">
      <c r="A17" s="59" t="inlineStr">
        <is>
          <t>🩺 Famotidina</t>
        </is>
      </c>
      <c r="B17" s="30" t="inlineStr">
        <is>
          <t>Profilaxia/DRGE</t>
        </is>
      </c>
      <c r="C17" s="30" t="inlineStr">
        <is>
          <t>20mg q12h</t>
        </is>
      </c>
      <c r="D17" s="30" t="inlineStr">
        <is>
          <t>Usual</t>
        </is>
      </c>
      <c r="E17" s="30" t="inlineStr">
        <is>
          <t>20mg q24h</t>
        </is>
      </c>
      <c r="F17" s="30" t="inlineStr">
        <is>
          <t>20mg q24–48h</t>
        </is>
      </c>
      <c r="G17" s="30" t="inlineStr">
        <is>
          <t>pós-HD</t>
        </is>
      </c>
      <c r="H17" s="97" t="inlineStr">
        <is>
          <t>Delirium, QT raro</t>
        </is>
      </c>
      <c r="I17" s="30" t="inlineStr">
        <is>
          <t>Prefira IBP se indicado e protocolo local</t>
        </is>
      </c>
      <c r="J17" s="99" t="inlineStr">
        <is>
          <t>Renal ref.</t>
        </is>
      </c>
    </row>
    <row r="18" ht="24" customHeight="1">
      <c r="A18" s="59" t="inlineStr">
        <is>
          <t>🩺 Ranitidina</t>
        </is>
      </c>
      <c r="B18" s="44" t="inlineStr">
        <is>
          <t>DRGE/profilaxia (descontinuada*)</t>
        </is>
      </c>
      <c r="C18" s="44" t="inlineStr">
        <is>
          <t>150mg q12h</t>
        </is>
      </c>
      <c r="D18" s="44" t="inlineStr">
        <is>
          <t>Usual</t>
        </is>
      </c>
      <c r="E18" s="44" t="inlineStr">
        <is>
          <t>Reduzir</t>
        </is>
      </c>
      <c r="F18" s="44" t="inlineStr">
        <is>
          <t>75mg q24h</t>
        </is>
      </c>
      <c r="G18" s="44" t="inlineStr">
        <is>
          <t>pós-HD</t>
        </is>
      </c>
      <c r="H18" s="97" t="inlineStr">
        <is>
          <t>SNC, QT</t>
        </is>
      </c>
      <c r="I18" s="44" t="inlineStr">
        <is>
          <t>*ANVISA suspendeu — usar famotidina ou IBP</t>
        </is>
      </c>
      <c r="J18" s="99" t="inlineStr">
        <is>
          <t>FDA/ANVISA</t>
        </is>
      </c>
    </row>
    <row r="19" ht="24" customHeight="1">
      <c r="A19" s="59" t="inlineStr">
        <is>
          <t>🧪 Alopurinol</t>
        </is>
      </c>
      <c r="B19" s="30" t="inlineStr">
        <is>
          <t>Hiperuricemia/gota</t>
        </is>
      </c>
      <c r="C19" s="30" t="inlineStr">
        <is>
          <t>100–300mg/d</t>
        </is>
      </c>
      <c r="D19" s="30" t="inlineStr">
        <is>
          <t>Ajustar</t>
        </is>
      </c>
      <c r="E19" s="30" t="inlineStr">
        <is>
          <t>50–100mg/d</t>
        </is>
      </c>
      <c r="F19" s="30" t="inlineStr">
        <is>
          <t>Dose baixa 50–100mg</t>
        </is>
      </c>
      <c r="G19" s="30" t="inlineStr">
        <is>
          <t>pós-HD</t>
        </is>
      </c>
      <c r="H19" s="97" t="inlineStr">
        <is>
          <t>DRESS/rash grave</t>
        </is>
      </c>
      <c r="I19" s="30" t="inlineStr">
        <is>
          <t>Iniciar baixo; não tratar assintomático em agudo</t>
        </is>
      </c>
      <c r="J19" s="99" t="inlineStr">
        <is>
          <t>Renal ref.</t>
        </is>
      </c>
    </row>
    <row r="20" ht="24" customHeight="1">
      <c r="A20" s="59" t="inlineStr">
        <is>
          <t>💉 Insulina</t>
        </is>
      </c>
      <c r="B20" s="44" t="inlineStr">
        <is>
          <t>Hiperglicemia</t>
        </is>
      </c>
      <c r="C20" s="44" t="inlineStr">
        <is>
          <t>Individual</t>
        </is>
      </c>
      <c r="D20" s="44" t="inlineStr">
        <is>
          <t>Reduzir 25%</t>
        </is>
      </c>
      <c r="E20" s="44" t="inlineStr">
        <is>
          <t>Reduzir 25–50%</t>
        </is>
      </c>
      <c r="F20" s="44" t="inlineStr">
        <is>
          <t>Reduzir 50%</t>
        </is>
      </c>
      <c r="G20" s="44" t="inlineStr">
        <is>
          <t>Reduzir 75%</t>
        </is>
      </c>
      <c r="H20" s="97" t="inlineStr">
        <is>
          <t>Hipoglicemia</t>
        </is>
      </c>
      <c r="I20" s="44" t="inlineStr">
        <is>
          <t>IRA reduz clearance insulina — monitorar 2–3h</t>
        </is>
      </c>
      <c r="J20" s="99" t="inlineStr">
        <is>
          <t>Prática UTI</t>
        </is>
      </c>
    </row>
    <row r="21" ht="24" customHeight="1">
      <c r="A21" s="59" t="inlineStr">
        <is>
          <t>🩺 Metformina</t>
        </is>
      </c>
      <c r="B21" s="30" t="inlineStr">
        <is>
          <t>DM2</t>
        </is>
      </c>
      <c r="C21" s="30" t="inlineStr">
        <is>
          <t>500–2550mg/d</t>
        </is>
      </c>
      <c r="D21" s="30" t="inlineStr">
        <is>
          <t>Cautela</t>
        </is>
      </c>
      <c r="E21" s="30" t="inlineStr">
        <is>
          <t>Reduzir</t>
        </is>
      </c>
      <c r="F21" s="56" t="inlineStr">
        <is>
          <t>CONTRAINDICADA</t>
        </is>
      </c>
      <c r="G21" s="30" t="inlineStr">
        <is>
          <t>Contraindicada</t>
        </is>
      </c>
      <c r="H21" s="97" t="inlineStr">
        <is>
          <t>Acidose láctica</t>
        </is>
      </c>
      <c r="I21" s="30" t="inlineStr">
        <is>
          <t>⚠️ CI absoluta CrCl&lt;30; risco acidose láctica grave</t>
        </is>
      </c>
      <c r="J21" s="99" t="inlineStr">
        <is>
          <t>ANVISA/FDA</t>
        </is>
      </c>
    </row>
    <row r="22" ht="24" customHeight="1">
      <c r="A22" s="59" t="inlineStr">
        <is>
          <t>🩺 Espironolactona</t>
        </is>
      </c>
      <c r="B22" s="44" t="inlineStr">
        <is>
          <t>IC/ascite</t>
        </is>
      </c>
      <c r="C22" s="44" t="inlineStr">
        <is>
          <t>25–50mg/d</t>
        </is>
      </c>
      <c r="D22" s="44" t="inlineStr">
        <is>
          <t>Cautela</t>
        </is>
      </c>
      <c r="E22" s="44" t="inlineStr">
        <is>
          <t>Cautela grande</t>
        </is>
      </c>
      <c r="F22" s="56" t="inlineStr">
        <is>
          <t>EVITAR</t>
        </is>
      </c>
      <c r="G22" s="44" t="inlineStr">
        <is>
          <t>Não usar</t>
        </is>
      </c>
      <c r="H22" s="97" t="inlineStr">
        <is>
          <t>Hipercalemia fatal</t>
        </is>
      </c>
      <c r="I22" s="44" t="inlineStr">
        <is>
          <t>⚠️ Risco K+ fatal em IRA — suspender precocemente</t>
        </is>
      </c>
      <c r="J22" s="99" t="inlineStr">
        <is>
          <t>Renal ref.</t>
        </is>
      </c>
    </row>
    <row r="23" ht="24" customHeight="1">
      <c r="A23" s="59" t="inlineStr">
        <is>
          <t>🧪 Colchicina</t>
        </is>
      </c>
      <c r="B23" s="30" t="inlineStr">
        <is>
          <t>Gota/pericardite</t>
        </is>
      </c>
      <c r="C23" s="30" t="inlineStr">
        <is>
          <t>0,5–1mg/d</t>
        </is>
      </c>
      <c r="D23" s="30" t="inlineStr">
        <is>
          <t>Usual</t>
        </is>
      </c>
      <c r="E23" s="30" t="inlineStr">
        <is>
          <t>Reduzir</t>
        </is>
      </c>
      <c r="F23" s="30" t="inlineStr">
        <is>
          <t>0,5mg q2–3d</t>
        </is>
      </c>
      <c r="G23" s="30" t="inlineStr">
        <is>
          <t>Evitar</t>
        </is>
      </c>
      <c r="H23" s="97" t="inlineStr">
        <is>
          <t>Miotoxicidade, citopenia</t>
        </is>
      </c>
      <c r="I23" s="30" t="inlineStr">
        <is>
          <t>Acumula massivamente em IRA — miotoxicidade grave</t>
        </is>
      </c>
      <c r="J23" s="99" t="inlineStr">
        <is>
          <t>Renal ref.</t>
        </is>
      </c>
    </row>
    <row r="24" ht="24" customHeight="1">
      <c r="A24" s="59" t="inlineStr">
        <is>
          <t>🩺 Aciclovir VO</t>
        </is>
      </c>
      <c r="B24" s="44" t="inlineStr">
        <is>
          <t>HSV/VZV</t>
        </is>
      </c>
      <c r="C24" s="44" t="inlineStr">
        <is>
          <t>200–800mg 5x/d</t>
        </is>
      </c>
      <c r="D24" s="44" t="inlineStr">
        <is>
          <t>Usual</t>
        </is>
      </c>
      <c r="E24" s="44" t="inlineStr">
        <is>
          <t>Reduzir</t>
        </is>
      </c>
      <c r="F24" s="44" t="inlineStr">
        <is>
          <t>800mg 1–2x/d</t>
        </is>
      </c>
      <c r="G24" s="44" t="inlineStr">
        <is>
          <t>pós-HD</t>
        </is>
      </c>
      <c r="H24" s="97" t="inlineStr">
        <is>
          <t>Cristalúria, neuro</t>
        </is>
      </c>
      <c r="I24" s="44" t="inlineStr">
        <is>
          <t>Hidratação obrigatória; ajustar</t>
        </is>
      </c>
      <c r="J24" s="99" t="inlineStr">
        <is>
          <t>UCSF</t>
        </is>
      </c>
    </row>
    <row r="27">
      <c r="A27" s="49" t="inlineStr">
        <is>
          <t>🧮  CONSULTA RÁPIDA — LEVETIRACETAM</t>
        </is>
      </c>
      <c r="B27" s="4" t="n"/>
      <c r="C27" s="4" t="n"/>
      <c r="D27" s="5" t="n"/>
    </row>
    <row r="28">
      <c r="A28" s="3" t="inlineStr">
        <is>
          <t>CrCl do paciente (mL/min)</t>
        </is>
      </c>
      <c r="B28" s="25" t="n">
        <v>35</v>
      </c>
    </row>
    <row r="29" ht="28" customHeight="1">
      <c r="A29" s="54">
        <f>IF(B28&gt;80,"✅ CrCl &gt;80: Dose plena 500–1500mg q12h",IF(B28&gt;50,"🟡 CrCl 51–80: 500–1000mg q12h",IF(B28&gt;30,"🟠 CrCl 30–50: 250–750mg q12h",IF(B28&gt;0,"🔴 CrCl &lt;30: 250–500mg q12h","🔴 HD: 500–1000mg q24h + 250–500mg pós-diálise"))))</f>
        <v/>
      </c>
    </row>
  </sheetData>
  <mergeCells count="5">
    <mergeCell ref="A2:V2"/>
    <mergeCell ref="A27:D27"/>
    <mergeCell ref="A1:V1"/>
    <mergeCell ref="A3:J3"/>
    <mergeCell ref="A29:D2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D4ED8"/>
    <outlinePr summaryBelow="1" summaryRight="1"/>
    <pageSetUpPr/>
  </sheetPr>
  <dimension ref="A1:V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  <col width="38" customWidth="1" min="9" max="9"/>
    <col width="14" customWidth="1" min="10" max="10"/>
  </cols>
  <sheetData>
    <row r="1" ht="28" customHeight="1">
      <c r="A1" s="1" t="inlineStr">
        <is>
          <t xml:space="preserve">  🏥  ANTICOAGULAÇÃO — AJUSTE RENAL · REVERSÃO · HIT · CONTRAINDICAÇÕES</t>
        </is>
      </c>
    </row>
    <row r="2" ht="16" customHeight="1">
      <c r="A2" s="2" t="inlineStr">
        <is>
          <t xml:space="preserve">  ⚙️  DOACs · HNF · HBPM · Varfarina | EMA/FDA/Diretrizes 2026  |  Dr. Aldenir Rocha · HRN &amp; Santa Casa Sobral-CE · v2026.1</t>
        </is>
      </c>
    </row>
    <row r="3">
      <c r="A3" s="101" t="inlineStr">
        <is>
          <t>🩺  TABELA ANTICOAGULAÇÃO — AJUSTE RENAL / REVERSÃO / PONTOS CRÍTICOS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A4" s="3" t="inlineStr">
        <is>
          <t>Fármaco</t>
        </is>
      </c>
      <c r="B4" s="3" t="inlineStr">
        <is>
          <t>Indicação</t>
        </is>
      </c>
      <c r="C4" s="3" t="inlineStr">
        <is>
          <t>Dose usual</t>
        </is>
      </c>
      <c r="D4" s="3" t="inlineStr">
        <is>
          <t>CrCl &gt;50</t>
        </is>
      </c>
      <c r="E4" s="3" t="inlineStr">
        <is>
          <t>CrCl 30–49</t>
        </is>
      </c>
      <c r="F4" s="3" t="inlineStr">
        <is>
          <t>CrCl &lt;30/HD</t>
        </is>
      </c>
      <c r="G4" s="3" t="inlineStr">
        <is>
          <t>Monitor</t>
        </is>
      </c>
      <c r="H4" s="3" t="inlineStr">
        <is>
          <t>Reversão</t>
        </is>
      </c>
      <c r="I4" s="3" t="inlineStr">
        <is>
          <t>Pontos críticos</t>
        </is>
      </c>
      <c r="J4" s="3" t="inlineStr">
        <is>
          <t>Fonte</t>
        </is>
      </c>
    </row>
    <row r="5" ht="26" customHeight="1">
      <c r="A5" s="59" t="inlineStr">
        <is>
          <t>🔵 HNF EV</t>
        </is>
      </c>
      <c r="B5" s="30" t="inlineStr">
        <is>
          <t>TEP/TVP/FA/ponte/IRA</t>
        </is>
      </c>
      <c r="C5" s="30" t="inlineStr">
        <is>
          <t>Bolus + infusão por TTPa/anti-Xa</t>
        </is>
      </c>
      <c r="D5" s="30" t="inlineStr">
        <is>
          <t>Sem ajuste renal</t>
        </is>
      </c>
      <c r="E5" s="30" t="inlineStr">
        <is>
          <t>Sem ajuste</t>
        </is>
      </c>
      <c r="F5" s="30" t="inlineStr">
        <is>
          <t>Preferir — meia-vida curta</t>
        </is>
      </c>
      <c r="G5" s="30" t="inlineStr">
        <is>
          <t>TTPa/anti-Xa, plaquetas</t>
        </is>
      </c>
      <c r="H5" s="30" t="inlineStr">
        <is>
          <t>Protamina 1mg:100UI</t>
        </is>
      </c>
      <c r="I5" s="102" t="inlineStr">
        <is>
          <t>Preferida em IRA grave e alto risco hemorrágico</t>
        </is>
      </c>
      <c r="J5" s="99" t="inlineStr">
        <is>
          <t>Diretrizes/bula</t>
        </is>
      </c>
    </row>
    <row r="6" ht="26" customHeight="1">
      <c r="A6" s="59" t="inlineStr">
        <is>
          <t>🟡 Enoxaparina profilaxia</t>
        </is>
      </c>
      <c r="B6" s="44" t="inlineStr">
        <is>
          <t>Profilaxia TEV</t>
        </is>
      </c>
      <c r="C6" s="44" t="inlineStr">
        <is>
          <t>40mg SC q24h</t>
        </is>
      </c>
      <c r="D6" s="44" t="inlineStr">
        <is>
          <t>40mg q24h</t>
        </is>
      </c>
      <c r="E6" s="44" t="inlineStr">
        <is>
          <t>Geralmente sem ajuste</t>
        </is>
      </c>
      <c r="F6" s="44" t="inlineStr">
        <is>
          <t>30mg q24h ou protocolo</t>
        </is>
      </c>
      <c r="G6" s="44" t="inlineStr">
        <is>
          <t>anti-Xa se CrCl&lt;30</t>
        </is>
      </c>
      <c r="H6" s="44" t="inlineStr">
        <is>
          <t>Protamina parcial (~60%)</t>
        </is>
      </c>
      <c r="I6" s="102" t="inlineStr">
        <is>
          <t>Observar sangramento mesmo CrCl 30–50</t>
        </is>
      </c>
      <c r="J6" s="99" t="inlineStr">
        <is>
          <t>FDA Lovenox</t>
        </is>
      </c>
    </row>
    <row r="7" ht="26" customHeight="1">
      <c r="A7" s="59" t="inlineStr">
        <is>
          <t>🔴 Enoxaparina terapêutica</t>
        </is>
      </c>
      <c r="B7" s="30" t="inlineStr">
        <is>
          <t>TEP/TVP/SCA</t>
        </is>
      </c>
      <c r="C7" s="30" t="inlineStr">
        <is>
          <t>1mg/kg SC q12h</t>
        </is>
      </c>
      <c r="D7" s="30" t="inlineStr">
        <is>
          <t>1mg/kg q12h</t>
        </is>
      </c>
      <c r="E7" s="30" t="inlineStr">
        <is>
          <t>Cautela — anti-Xa</t>
        </is>
      </c>
      <c r="F7" s="30" t="inlineStr">
        <is>
          <t>1mg/kg q24h (CrCl&lt;30)</t>
        </is>
      </c>
      <c r="G7" s="30" t="inlineStr">
        <is>
          <t>anti-Xa em IRA/obesidade</t>
        </is>
      </c>
      <c r="H7" s="30" t="inlineStr">
        <is>
          <t>Protamina parcial</t>
        </is>
      </c>
      <c r="I7" s="102" t="inlineStr">
        <is>
          <t>Acumula em IRA — anti-Xa obrigatório</t>
        </is>
      </c>
      <c r="J7" s="99" t="inlineStr">
        <is>
          <t>FDA Lovenox</t>
        </is>
      </c>
    </row>
    <row r="8" ht="26" customHeight="1">
      <c r="A8" s="59" t="inlineStr">
        <is>
          <t>🟡 Fondaparinux</t>
        </is>
      </c>
      <c r="B8" s="44" t="inlineStr">
        <is>
          <t>TEV/SCA selecionado</t>
        </is>
      </c>
      <c r="C8" s="44" t="inlineStr">
        <is>
          <t>2,5mg profilaxia; 5–10mg terapêutico</t>
        </is>
      </c>
      <c r="D8" s="44" t="inlineStr">
        <is>
          <t>ok</t>
        </is>
      </c>
      <c r="E8" s="44" t="inlineStr">
        <is>
          <t>Cautela</t>
        </is>
      </c>
      <c r="F8" s="56" t="inlineStr">
        <is>
          <t>EVITAR CrCl&lt;30</t>
        </is>
      </c>
      <c r="G8" s="44" t="inlineStr">
        <is>
          <t>anti-Xa específico</t>
        </is>
      </c>
      <c r="H8" s="44" t="inlineStr">
        <is>
          <t>Sem antídoto específico</t>
        </is>
      </c>
      <c r="I8" s="102" t="inlineStr">
        <is>
          <t>Longa meia-vida; sem antídoto</t>
        </is>
      </c>
      <c r="J8" s="99" t="inlineStr">
        <is>
          <t>Bula</t>
        </is>
      </c>
    </row>
    <row r="9" ht="26" customHeight="1">
      <c r="A9" s="59" t="inlineStr">
        <is>
          <t>🟢 Apixabana</t>
        </is>
      </c>
      <c r="B9" s="30" t="inlineStr">
        <is>
          <t>FA/TEV</t>
        </is>
      </c>
      <c r="C9" s="30" t="inlineStr">
        <is>
          <t>5mg 2x/d ou esquema TEV</t>
        </is>
      </c>
      <c r="D9" s="30" t="inlineStr">
        <is>
          <t>ok</t>
        </is>
      </c>
      <c r="E9" s="30" t="inlineStr">
        <is>
          <t>ok/cautela</t>
        </is>
      </c>
      <c r="F9" s="30" t="inlineStr">
        <is>
          <t>FA: 2,5mg 2x/d; TEV cautela CrCl&lt;15</t>
        </is>
      </c>
      <c r="G9" s="30" t="inlineStr">
        <is>
          <t>Função renal/hepática</t>
        </is>
      </c>
      <c r="H9" s="30" t="inlineStr">
        <is>
          <t>Andexanet alfa / 4F-PCC</t>
        </is>
      </c>
      <c r="I9" s="102" t="inlineStr">
        <is>
          <t>Critérios variam por indicação; não reverter com protamina</t>
        </is>
      </c>
      <c r="J9" s="99" t="inlineStr">
        <is>
          <t>EMA/Pfizer</t>
        </is>
      </c>
    </row>
    <row r="10" ht="26" customHeight="1">
      <c r="A10" s="59" t="inlineStr">
        <is>
          <t>🟢 Rivaroxabana</t>
        </is>
      </c>
      <c r="B10" s="44" t="inlineStr">
        <is>
          <t>FA/TEV</t>
        </is>
      </c>
      <c r="C10" s="44" t="inlineStr">
        <is>
          <t>FA: 20mg/d; TEV: 15mg→20mg</t>
        </is>
      </c>
      <c r="D10" s="44" t="inlineStr">
        <is>
          <t>20mg/d FA</t>
        </is>
      </c>
      <c r="E10" s="44" t="inlineStr">
        <is>
          <t>FA: 15mg/d se CrCl 15–49</t>
        </is>
      </c>
      <c r="F10" s="56" t="inlineStr">
        <is>
          <t>EVITAR CrCl&lt;15</t>
        </is>
      </c>
      <c r="G10" s="44" t="inlineStr">
        <is>
          <t>Função renal/hepática</t>
        </is>
      </c>
      <c r="H10" s="44" t="inlineStr">
        <is>
          <t>Andexanet alfa / 4F-PCC</t>
        </is>
      </c>
      <c r="I10" s="102" t="inlineStr">
        <is>
          <t>Tomar com refeição (15/20mg); indicação muda dose</t>
        </is>
      </c>
      <c r="J10" s="99" t="inlineStr">
        <is>
          <t>EMA/FDA</t>
        </is>
      </c>
    </row>
    <row r="11" ht="26" customHeight="1">
      <c r="A11" s="59" t="inlineStr">
        <is>
          <t>🔵 Dabigatrana</t>
        </is>
      </c>
      <c r="B11" s="30" t="inlineStr">
        <is>
          <t>FA/TEV</t>
        </is>
      </c>
      <c r="C11" s="30" t="inlineStr">
        <is>
          <t>150mg 2x/d</t>
        </is>
      </c>
      <c r="D11" s="30" t="inlineStr">
        <is>
          <t>ok</t>
        </is>
      </c>
      <c r="E11" s="30" t="inlineStr">
        <is>
          <t>Reduzir/cautela</t>
        </is>
      </c>
      <c r="F11" s="56" t="inlineStr">
        <is>
          <t>EVITAR geral CrCl&lt;30</t>
        </is>
      </c>
      <c r="G11" s="30" t="inlineStr">
        <is>
          <t>Função renal</t>
        </is>
      </c>
      <c r="H11" s="30" t="inlineStr">
        <is>
          <t>Idarucizumabe (5g EV)</t>
        </is>
      </c>
      <c r="I11" s="102" t="inlineStr">
        <is>
          <t>Alta dependência renal; dializável; dispepsia</t>
        </is>
      </c>
      <c r="J11" s="99" t="inlineStr">
        <is>
          <t>Bula</t>
        </is>
      </c>
    </row>
    <row r="12" ht="26" customHeight="1">
      <c r="A12" s="59" t="inlineStr">
        <is>
          <t>🟡 Varfarina</t>
        </is>
      </c>
      <c r="B12" s="44" t="inlineStr">
        <is>
          <t>FA/TEV/valva</t>
        </is>
      </c>
      <c r="C12" s="44" t="inlineStr">
        <is>
          <t>INR alvo indicação</t>
        </is>
      </c>
      <c r="D12" s="44" t="inlineStr">
        <is>
          <t>Sem ajuste CrCl</t>
        </is>
      </c>
      <c r="E12" s="44" t="inlineStr">
        <is>
          <t>ok com INR</t>
        </is>
      </c>
      <c r="F12" s="44" t="inlineStr">
        <is>
          <t>ok com INR</t>
        </is>
      </c>
      <c r="G12" s="44" t="inlineStr">
        <is>
          <t>INR regular</t>
        </is>
      </c>
      <c r="H12" s="44" t="inlineStr">
        <is>
          <t>Vit K + PCC (CCP 4F)</t>
        </is>
      </c>
      <c r="I12" s="102" t="inlineStr">
        <is>
          <t>Interações; ponte HNF se alto risco trombótico</t>
        </is>
      </c>
      <c r="J12" s="99" t="inlineStr">
        <is>
          <t>Diretrizes</t>
        </is>
      </c>
    </row>
    <row r="13" ht="26" customHeight="1">
      <c r="A13" s="59" t="inlineStr">
        <is>
          <t>🔵 Argatroban</t>
        </is>
      </c>
      <c r="B13" s="30" t="inlineStr">
        <is>
          <t>HIT (TIH)</t>
        </is>
      </c>
      <c r="C13" s="30" t="inlineStr">
        <is>
          <t>Infusão 2mcg/kg/min ajust TTPa</t>
        </is>
      </c>
      <c r="D13" s="30" t="inlineStr">
        <is>
          <t>Cuidado</t>
        </is>
      </c>
      <c r="E13" s="30" t="inlineStr">
        <is>
          <t>Cuidado</t>
        </is>
      </c>
      <c r="F13" s="30" t="inlineStr">
        <is>
          <t>ok (metabolismo hepático)</t>
        </is>
      </c>
      <c r="G13" s="30" t="inlineStr">
        <is>
          <t>TTPa 1,5–3x basal</t>
        </is>
      </c>
      <c r="H13" s="30" t="inlineStr">
        <is>
          <t>Sem antídoto</t>
        </is>
      </c>
      <c r="I13" s="102" t="inlineStr">
        <is>
          <t>1ª escolha HIT com hepatopatia LEVE</t>
        </is>
      </c>
      <c r="J13" s="99" t="inlineStr">
        <is>
          <t>ASH/diretrizes</t>
        </is>
      </c>
    </row>
    <row r="14" ht="26" customHeight="1">
      <c r="A14" s="59" t="inlineStr">
        <is>
          <t>🟡 Bivalirudina</t>
        </is>
      </c>
      <c r="B14" s="44" t="inlineStr">
        <is>
          <t>HIT/ICP</t>
        </is>
      </c>
      <c r="C14" s="44" t="inlineStr">
        <is>
          <t>0,75mg/kg + 1,75mg/kg/h</t>
        </is>
      </c>
      <c r="D14" s="44" t="inlineStr">
        <is>
          <t>ajustar</t>
        </is>
      </c>
      <c r="E14" s="44" t="inlineStr">
        <is>
          <t>ajustar</t>
        </is>
      </c>
      <c r="F14" s="44" t="inlineStr">
        <is>
          <t>IHD: 0,25mg/kg/h</t>
        </is>
      </c>
      <c r="G14" s="44" t="inlineStr">
        <is>
          <t>TCA/ECT</t>
        </is>
      </c>
      <c r="H14" s="44" t="inlineStr">
        <is>
          <t>Sem antídoto</t>
        </is>
      </c>
      <c r="I14" s="102" t="inlineStr">
        <is>
          <t>Eliminação renal + proteólise; cuidado IRA</t>
        </is>
      </c>
      <c r="J14" s="99" t="inlineStr">
        <is>
          <t>Diretrizes</t>
        </is>
      </c>
    </row>
    <row r="16">
      <c r="A16" s="73" t="inlineStr">
        <is>
          <t>🚨  HIT — TROMBOCITOPENIA INDUZIDA POR HEPARINA</t>
        </is>
      </c>
      <c r="B16" s="4" t="n"/>
      <c r="C16" s="4" t="n"/>
      <c r="D16" s="4" t="n"/>
      <c r="E16" s="5" t="n"/>
    </row>
    <row r="17">
      <c r="A17" s="3" t="inlineStr">
        <is>
          <t>Score 4T</t>
        </is>
      </c>
      <c r="B17" s="3" t="inlineStr">
        <is>
          <t>Pontuação</t>
        </is>
      </c>
      <c r="C17" s="3" t="inlineStr">
        <is>
          <t>Probabilidade</t>
        </is>
      </c>
      <c r="D17" s="3" t="inlineStr">
        <is>
          <t>Conduta</t>
        </is>
      </c>
      <c r="E17" s="3" t="inlineStr">
        <is>
          <t>Exame confirmatório</t>
        </is>
      </c>
    </row>
    <row r="18" ht="24" customHeight="1">
      <c r="A18" s="65" t="inlineStr">
        <is>
          <t>0–3</t>
        </is>
      </c>
      <c r="B18" s="65" t="inlineStr">
        <is>
          <t>0–3</t>
        </is>
      </c>
      <c r="C18" s="30" t="inlineStr">
        <is>
          <t>Baixa</t>
        </is>
      </c>
      <c r="D18" s="30" t="inlineStr">
        <is>
          <t>Continuar heparina; investigar outra causa</t>
        </is>
      </c>
      <c r="E18" s="30" t="inlineStr">
        <is>
          <t>Anticorpo anti-PF4/H (ELISA ou CLIA)</t>
        </is>
      </c>
    </row>
    <row r="19" ht="24" customHeight="1">
      <c r="A19" s="67" t="inlineStr">
        <is>
          <t>4–5</t>
        </is>
      </c>
      <c r="B19" s="67" t="inlineStr">
        <is>
          <t>4–5</t>
        </is>
      </c>
      <c r="C19" s="44" t="inlineStr">
        <is>
          <t>Intermediária</t>
        </is>
      </c>
      <c r="D19" s="44" t="inlineStr">
        <is>
          <t>Suspender heparina; iniciar anticoagulante alternativo</t>
        </is>
      </c>
      <c r="E19" s="44" t="inlineStr">
        <is>
          <t>Anti-PF4/H + confirmar c/ teste funcional (SRA/HIPA)</t>
        </is>
      </c>
    </row>
    <row r="20" ht="24" customHeight="1">
      <c r="A20" s="68" t="inlineStr">
        <is>
          <t>6–8</t>
        </is>
      </c>
      <c r="B20" s="68" t="inlineStr">
        <is>
          <t>6–8</t>
        </is>
      </c>
      <c r="C20" s="30" t="inlineStr">
        <is>
          <t>Alta</t>
        </is>
      </c>
      <c r="D20" s="30" t="inlineStr">
        <is>
          <t>Suspender heparina IMEDIATAMENTE; argatroban ou bivalirudina</t>
        </is>
      </c>
      <c r="E20" s="30" t="inlineStr">
        <is>
          <t>Anti-PF4/H + teste funcional urgente</t>
        </is>
      </c>
    </row>
  </sheetData>
  <mergeCells count="4">
    <mergeCell ref="A2:V2"/>
    <mergeCell ref="A16:E16"/>
    <mergeCell ref="A1:V1"/>
    <mergeCell ref="A3:J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BE123C"/>
    <outlinePr summaryBelow="1" summaryRight="1"/>
    <pageSetUpPr/>
  </sheetPr>
  <dimension ref="A1:V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28" customWidth="1" min="3" max="3"/>
    <col width="18" customWidth="1" min="4" max="4"/>
    <col width="22" customWidth="1" min="5" max="5"/>
    <col width="26" customWidth="1" min="6" max="6"/>
    <col width="24" customWidth="1" min="7" max="7"/>
    <col width="16" customWidth="1" min="8" max="8"/>
  </cols>
  <sheetData>
    <row r="1" ht="28" customHeight="1">
      <c r="A1" s="1" t="inlineStr">
        <is>
          <t xml:space="preserve">  🏥  CONTRAINDICAÇÕES E CAUTELAS CRÍTICAS NA UTI</t>
        </is>
      </c>
    </row>
    <row r="2" ht="16" customHeight="1">
      <c r="A2" s="2" t="inlineStr">
        <is>
          <t xml:space="preserve">  ⚙️  Checklist segurança | absoluta vs relativa por contexto | 2026  |  Dr. Aldenir Rocha · HRN &amp; Santa Casa Sobral-CE · v2026.1</t>
        </is>
      </c>
    </row>
    <row r="3">
      <c r="A3" s="73" t="inlineStr">
        <is>
          <t>⛔  CHECKLIST DE SEGURANÇA — CONTRAINDICAÇÕES UTI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3" t="inlineStr">
        <is>
          <t>Intervenção/Fármaco</t>
        </is>
      </c>
      <c r="B4" s="3" t="inlineStr">
        <is>
          <t>Contraindicações absolutas/importantes</t>
        </is>
      </c>
      <c r="C4" s="3" t="inlineStr">
        <is>
          <t>Cautelas relativas</t>
        </is>
      </c>
      <c r="D4" s="3" t="inlineStr">
        <is>
          <t>Risco principal</t>
        </is>
      </c>
      <c r="E4" s="3" t="inlineStr">
        <is>
          <t>Alternativa</t>
        </is>
      </c>
      <c r="F4" s="3" t="inlineStr">
        <is>
          <t>Checklist antes</t>
        </is>
      </c>
      <c r="G4" s="3" t="inlineStr">
        <is>
          <t>Alarme</t>
        </is>
      </c>
      <c r="H4" s="3" t="inlineStr">
        <is>
          <t>Fonte</t>
        </is>
      </c>
    </row>
    <row r="5" ht="28" customHeight="1">
      <c r="A5" s="59" t="inlineStr">
        <is>
          <t>Trombólise AVC/TEP</t>
        </is>
      </c>
      <c r="B5" s="56" t="inlineStr">
        <is>
          <t>Sangramento ativo, AVC hemorrágico recente, cirurgia/trauma recente relevante</t>
        </is>
      </c>
      <c r="C5" s="30" t="inlineStr">
        <is>
          <t>HAS grave, anticoagulação, idade, baixo peso</t>
        </is>
      </c>
      <c r="D5" s="30" t="inlineStr">
        <is>
          <t>Hemorragia fatal</t>
        </is>
      </c>
      <c r="E5" s="30" t="inlineStr">
        <is>
          <t>Reversão imediata/controle PA/centro especializado</t>
        </is>
      </c>
      <c r="F5" s="30" t="inlineStr">
        <is>
          <t>TC/tempo/escala/risco</t>
        </is>
      </c>
      <c r="G5" s="87" t="inlineStr">
        <is>
          <t>Decisão protocolar urgente</t>
        </is>
      </c>
      <c r="H5" s="30" t="inlineStr">
        <is>
          <t>Diretrizes específicas</t>
        </is>
      </c>
    </row>
    <row r="6" ht="28" customHeight="1">
      <c r="A6" s="59" t="inlineStr">
        <is>
          <t>HNF / HBPM</t>
        </is>
      </c>
      <c r="B6" s="56" t="inlineStr">
        <is>
          <t>Sangramento ativo, HIT suspeita/confirmada</t>
        </is>
      </c>
      <c r="C6" s="44" t="inlineStr">
        <is>
          <t>Plaquetas baixas, pós-operatório, IRA</t>
        </is>
      </c>
      <c r="D6" s="44" t="inlineStr">
        <is>
          <t>Sangramento/HIT</t>
        </is>
      </c>
      <c r="E6" s="44" t="inlineStr">
        <is>
          <t>Mecânica/argatroban se HIT; suspender e investigar</t>
        </is>
      </c>
      <c r="F6" s="44" t="inlineStr">
        <is>
          <t>Hb, plaquetas, CrCl, score 4T</t>
        </is>
      </c>
      <c r="G6" s="87" t="inlineStr">
        <is>
          <t>Queda Hb ou plaquetas</t>
        </is>
      </c>
      <c r="H6" s="44" t="inlineStr">
        <is>
          <t>Bulas/diretrizes</t>
        </is>
      </c>
    </row>
    <row r="7" ht="28" customHeight="1">
      <c r="A7" s="59" t="inlineStr">
        <is>
          <t>DOAC</t>
        </is>
      </c>
      <c r="B7" s="56" t="inlineStr">
        <is>
          <t>Sangramento ativo, hepatopatia coagulopática grave, interações fortes</t>
        </is>
      </c>
      <c r="C7" s="30" t="inlineStr">
        <is>
          <t>IRA, extremos peso, procedimento iminente</t>
        </is>
      </c>
      <c r="D7" s="30" t="inlineStr">
        <is>
          <t>Sangramento maior</t>
        </is>
      </c>
      <c r="E7" s="30" t="inlineStr">
        <is>
          <t>HNF/varfarina/ajuste indicação</t>
        </is>
      </c>
      <c r="F7" s="30" t="inlineStr">
        <is>
          <t>CrCl, indicação, última dose, peso</t>
        </is>
      </c>
      <c r="G7" s="87" t="inlineStr">
        <is>
          <t>CrCl&lt;15 ou hepatopatia</t>
        </is>
      </c>
      <c r="H7" s="30" t="inlineStr">
        <is>
          <t>EMA/FDA</t>
        </is>
      </c>
    </row>
    <row r="8" ht="28" customHeight="1">
      <c r="A8" s="59" t="inlineStr">
        <is>
          <t>VNI</t>
        </is>
      </c>
      <c r="B8" s="56" t="inlineStr">
        <is>
          <t>Parada/instabilidade hemodinâmica grave, vômitos incoercíveis, rebaixamento grave, incapaz proteger VA</t>
        </is>
      </c>
      <c r="C8" s="44" t="inlineStr">
        <is>
          <t>Secreção excessiva, cirurgia facial recente, agitação</t>
        </is>
      </c>
      <c r="D8" s="44" t="inlineStr">
        <is>
          <t>Atraso na IOT</t>
        </is>
      </c>
      <c r="E8" s="44" t="inlineStr">
        <is>
          <t>CNAF/IOT</t>
        </is>
      </c>
      <c r="F8" s="44" t="inlineStr">
        <is>
          <t>ROX, gaso, consciência, cooperação</t>
        </is>
      </c>
      <c r="G8" s="87" t="inlineStr">
        <is>
          <t>pH piora / SpO2 não responde</t>
        </is>
      </c>
      <c r="H8" s="44" t="inlineStr">
        <is>
          <t>Diretrizes respiratórias</t>
        </is>
      </c>
    </row>
    <row r="9" ht="28" customHeight="1">
      <c r="A9" s="59" t="inlineStr">
        <is>
          <t>Prona</t>
        </is>
      </c>
      <c r="B9" s="56" t="inlineStr">
        <is>
          <t>Instabilidade hemodinâmica não controlada, via aérea insegura, trauma espinhal instável</t>
        </is>
      </c>
      <c r="C9" s="30" t="inlineStr">
        <is>
          <t>Obesidade, drenos múltiplos, gestação, HICP</t>
        </is>
      </c>
      <c r="D9" s="30" t="inlineStr">
        <is>
          <t>Extubação/perda dispositivos/úlceras pressão</t>
        </is>
      </c>
      <c r="E9" s="30" t="inlineStr">
        <is>
          <t>Equipe treinada + checklist rigoroso</t>
        </is>
      </c>
      <c r="F9" s="30" t="inlineStr">
        <is>
          <t>TOT, CVC, olhos fixados, drenos</t>
        </is>
      </c>
      <c r="G9" s="87" t="inlineStr">
        <is>
          <t>P/F&lt;150 = favorece prona</t>
        </is>
      </c>
      <c r="H9" s="30" t="inlineStr">
        <is>
          <t>ESICM 2023</t>
        </is>
      </c>
    </row>
    <row r="10" ht="28" customHeight="1">
      <c r="A10" s="59" t="inlineStr">
        <is>
          <t>Propofol prolongado</t>
        </is>
      </c>
      <c r="B10" s="56" t="inlineStr">
        <is>
          <t>Alergia ovo/soja, instabilidade extrema sem suporte</t>
        </is>
      </c>
      <c r="C10" s="44" t="inlineStr">
        <is>
          <t>Hipertrigliceridemia, choque, altas doses &gt;48h</t>
        </is>
      </c>
      <c r="D10" s="44" t="inlineStr">
        <is>
          <t>PRIS: acidose, rabdomiólise</t>
        </is>
      </c>
      <c r="E10" s="44" t="inlineStr">
        <is>
          <t>Dexmedetomidina/cetamina/midazolam</t>
        </is>
      </c>
      <c r="F10" s="44" t="inlineStr">
        <is>
          <t>TG, lactato, CK se suspeita PRIS</t>
        </is>
      </c>
      <c r="G10" s="87" t="inlineStr">
        <is>
          <t>Dose &gt;4mg/kg/h &gt;48h</t>
        </is>
      </c>
      <c r="H10" s="44" t="inlineStr">
        <is>
          <t>Farmacologia/PADIS</t>
        </is>
      </c>
    </row>
    <row r="11" ht="28" customHeight="1">
      <c r="A11" s="59" t="inlineStr">
        <is>
          <t>Benzodiazepínico contínuo</t>
        </is>
      </c>
      <c r="B11" s="56" t="inlineStr">
        <is>
          <t>Alergia específica/intoxicação</t>
        </is>
      </c>
      <c r="C11" s="30" t="inlineStr">
        <is>
          <t>Delirium, idoso, IRA/hepatopata</t>
        </is>
      </c>
      <c r="D11" s="30" t="inlineStr">
        <is>
          <t>Oversedação/delirium</t>
        </is>
      </c>
      <c r="E11" s="30" t="inlineStr">
        <is>
          <t>Analgesia-first, dexmedetomidina, propofol</t>
        </is>
      </c>
      <c r="F11" s="30" t="inlineStr">
        <is>
          <t>RASS/CAM-ICU diário</t>
        </is>
      </c>
      <c r="G11" s="87" t="inlineStr">
        <is>
          <t>Sem meta RASS definida</t>
        </is>
      </c>
      <c r="H11" s="30" t="inlineStr">
        <is>
          <t>PADIS 2018</t>
        </is>
      </c>
    </row>
    <row r="12" ht="28" customHeight="1">
      <c r="A12" s="59" t="inlineStr">
        <is>
          <t>Succinilcolina RSI</t>
        </is>
      </c>
      <c r="B12" s="56" t="inlineStr">
        <is>
          <t>Hipercalemia conhecida, rabdomiólise, queimado &gt;24h, distrofia muscular</t>
        </is>
      </c>
      <c r="C12" s="44" t="inlineStr">
        <is>
          <t>UCI&gt;5 dias (hiperK?), lesão medular</t>
        </is>
      </c>
      <c r="D12" s="44" t="inlineStr">
        <is>
          <t>Parada cardíaca por hipercalemia</t>
        </is>
      </c>
      <c r="E12" s="44" t="inlineStr">
        <is>
          <t>Rocurônio + sugammadex</t>
        </is>
      </c>
      <c r="F12" s="44" t="inlineStr">
        <is>
          <t>K sérico, duração lesão, uso de UCI</t>
        </is>
      </c>
      <c r="G12" s="87" t="inlineStr">
        <is>
          <t>K &gt; 5,5 mEq/L</t>
        </is>
      </c>
      <c r="H12" s="44" t="inlineStr">
        <is>
          <t>Anestesia/bulas</t>
        </is>
      </c>
    </row>
    <row r="13" ht="28" customHeight="1">
      <c r="A13" s="59" t="inlineStr">
        <is>
          <t>Bicarbonato EV</t>
        </is>
      </c>
      <c r="B13" s="56" t="inlineStr">
        <is>
          <t>Alcalose metabólica, hipernatremia grave, alcalose respiratória</t>
        </is>
      </c>
      <c r="C13" s="30" t="inlineStr">
        <is>
          <t>Acidose láctica sem AKI grave</t>
        </is>
      </c>
      <c r="D13" s="30" t="inlineStr">
        <is>
          <t>CO2↑, sobrecarga Na, alcalose</t>
        </is>
      </c>
      <c r="E13" s="30" t="inlineStr">
        <is>
          <t>Tratar causa; TSR se indicação</t>
        </is>
      </c>
      <c r="F13" s="30" t="inlineStr">
        <is>
          <t>pH, Na, PaCO2, ventilação</t>
        </is>
      </c>
      <c r="G13" s="87" t="inlineStr">
        <is>
          <t>pH≤7,2+AKI = pode beneficiar</t>
        </is>
      </c>
      <c r="H13" s="30" t="inlineStr">
        <is>
          <t>SSC/KDIGO</t>
        </is>
      </c>
    </row>
    <row r="14" ht="28" customHeight="1">
      <c r="A14" s="59" t="inlineStr">
        <is>
          <t>Nutrição enteral</t>
        </is>
      </c>
      <c r="B14" s="56" t="inlineStr">
        <is>
          <t>Isquemia intestinal, choque não controlado, obstrução mecânica</t>
        </is>
      </c>
      <c r="C14" s="44" t="inlineStr">
        <is>
          <t>DVA alta, resíduo gástrico alto, aspiração</t>
        </is>
      </c>
      <c r="D14" s="44" t="inlineStr">
        <is>
          <t>Isquemia/aspiração</t>
        </is>
      </c>
      <c r="E14" s="44" t="inlineStr">
        <is>
          <t>Parenteral se contraindicação prolongada</t>
        </is>
      </c>
      <c r="F14" s="44" t="inlineStr">
        <is>
          <t>Perfusão abdominal, lactato</t>
        </is>
      </c>
      <c r="G14" s="87" t="inlineStr">
        <is>
          <t>Lactato subindo + dor abdominal</t>
        </is>
      </c>
      <c r="H14" s="44" t="inlineStr">
        <is>
          <t>ESPEN 2023/prática</t>
        </is>
      </c>
    </row>
    <row r="15" ht="28" customHeight="1">
      <c r="A15" s="59" t="inlineStr">
        <is>
          <t>Fluido liberal</t>
        </is>
      </c>
      <c r="B15" s="56" t="inlineStr">
        <is>
          <t>Edema pulmonar grave sem responsividade volêmica</t>
        </is>
      </c>
      <c r="C15" s="30" t="inlineStr">
        <is>
          <t>IC/ARDS/DRC</t>
        </is>
      </c>
      <c r="D15" s="30" t="inlineStr">
        <is>
          <t>Sobrecarga/edema</t>
        </is>
      </c>
      <c r="E15" s="30" t="inlineStr">
        <is>
          <t>PLR guiada/eco/diurético/UF</t>
        </is>
      </c>
      <c r="F15" s="30" t="inlineStr">
        <is>
          <t>Responsividade antes de cada bolus</t>
        </is>
      </c>
      <c r="G15" s="87" t="inlineStr">
        <is>
          <t>Balanço + &gt; edema</t>
        </is>
      </c>
      <c r="H15" s="30" t="inlineStr">
        <is>
          <t>SSC 2021</t>
        </is>
      </c>
    </row>
    <row r="16" ht="28" customHeight="1">
      <c r="A16" s="59" t="inlineStr">
        <is>
          <t>Contraste iodado (TC)</t>
        </is>
      </c>
      <c r="B16" s="56" t="inlineStr">
        <is>
          <t>IRA aguda grave sem benefício claro, alergia grave prévia</t>
        </is>
      </c>
      <c r="C16" s="44" t="inlineStr">
        <is>
          <t>DRC, metformina, mieloma</t>
        </is>
      </c>
      <c r="D16" s="44" t="inlineStr">
        <is>
          <t>IRA contraste</t>
        </is>
      </c>
      <c r="E16" s="44" t="inlineStr">
        <is>
          <t>Pré-hidratação; suspender nefrotóxicos; dose mínima</t>
        </is>
      </c>
      <c r="F16" s="44" t="inlineStr">
        <is>
          <t>CrCl, histórico alergia, metformina</t>
        </is>
      </c>
      <c r="G16" s="87" t="inlineStr">
        <is>
          <t>Cr sobe 0,5mg/dL em 48–72h</t>
        </is>
      </c>
      <c r="H16" s="44" t="inlineStr">
        <is>
          <t>ACR 2024</t>
        </is>
      </c>
    </row>
  </sheetData>
  <mergeCells count="3">
    <mergeCell ref="A2:V2"/>
    <mergeCell ref="A3:H3"/>
    <mergeCell ref="A1:V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D9488"/>
    <outlinePr summaryBelow="1" summaryRight="1"/>
    <pageSetUpPr/>
  </sheetPr>
  <dimension ref="A1:V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4" customWidth="1" min="8" max="8"/>
  </cols>
  <sheetData>
    <row r="1" ht="28" customHeight="1">
      <c r="A1" s="1" t="inlineStr">
        <is>
          <t xml:space="preserve">  🏥  FLUXOGRAMAS RÁPIDOS — UTI 2026</t>
        </is>
      </c>
    </row>
    <row r="2" ht="16" customHeight="1">
      <c r="A2" s="2" t="inlineStr">
        <is>
          <t xml:space="preserve">  ⚙️  Algoritmos textuais · mnemônicos · DOPE · AEIOU · FAST-HUGS  |  Dr. Aldenir Rocha · HRN &amp; Santa Casa Sobral-CE · v2026.1</t>
        </is>
      </c>
    </row>
    <row r="3">
      <c r="A3" s="49" t="inlineStr">
        <is>
          <t>🗺️  FLUXOGRAMAS OPERACIONAIS — UTI 2026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3" t="inlineStr">
        <is>
          <t>Fluxo</t>
        </is>
      </c>
      <c r="B4" s="3" t="inlineStr">
        <is>
          <t>Etapa 1</t>
        </is>
      </c>
      <c r="C4" s="3" t="inlineStr">
        <is>
          <t>Etapa 2</t>
        </is>
      </c>
      <c r="D4" s="3" t="inlineStr">
        <is>
          <t>Etapa 3</t>
        </is>
      </c>
      <c r="E4" s="3" t="inlineStr">
        <is>
          <t>Etapa 4</t>
        </is>
      </c>
      <c r="F4" s="3" t="inlineStr">
        <is>
          <t>Etapa 5</t>
        </is>
      </c>
      <c r="G4" s="3" t="inlineStr">
        <is>
          <t>Etapa 6</t>
        </is>
      </c>
      <c r="H4" s="3" t="inlineStr">
        <is>
          <t>Saída / Meta</t>
        </is>
      </c>
    </row>
    <row r="5" ht="30" customHeight="1">
      <c r="A5" s="41" t="inlineStr">
        <is>
          <t>Hipoxemia súbita em VM</t>
        </is>
      </c>
      <c r="B5" s="30" t="inlineStr">
        <is>
          <t>FiO2 100% temporário</t>
        </is>
      </c>
      <c r="C5" s="30" t="inlineStr">
        <is>
          <t>DOPE: deslocamento/obstrução/pneumotórax/equipamento</t>
        </is>
      </c>
      <c r="D5" s="30" t="inlineStr">
        <is>
          <t>Capnografia + ausculta + curva pressão/fluxo</t>
        </is>
      </c>
      <c r="E5" s="30" t="inlineStr">
        <is>
          <t>Aspirar se obstrução</t>
        </is>
      </c>
      <c r="F5" s="30" t="inlineStr">
        <is>
          <t>POCUS/RX urgente</t>
        </is>
      </c>
      <c r="G5" s="30" t="inlineStr">
        <is>
          <t>Ajustar PEEP/Vt/prona se ARDS</t>
        </is>
      </c>
      <c r="H5" s="103" t="inlineStr">
        <is>
          <t>SpO2 segura + causa tratada</t>
        </is>
      </c>
    </row>
    <row r="6" ht="30" customHeight="1">
      <c r="A6" s="41" t="inlineStr">
        <is>
          <t>Oligúria / AKI</t>
        </is>
      </c>
      <c r="B6" s="44" t="inlineStr">
        <is>
          <t>Confirmar débito + SVD pérvio</t>
        </is>
      </c>
      <c r="C6" s="44" t="inlineStr">
        <is>
          <t>Hemodinâmica + POCUS + responsividade</t>
        </is>
      </c>
      <c r="D6" s="44" t="inlineStr">
        <is>
          <t>Suspender nefrotóxicos (contraste, AINE, ARA, IECA)</t>
        </is>
      </c>
      <c r="E6" s="44" t="inlineStr">
        <is>
          <t>EAS + USG se obstrutivo</t>
        </is>
      </c>
      <c r="F6" s="44" t="inlineStr">
        <is>
          <t>Dose renal (ver aba 12–13)</t>
        </is>
      </c>
      <c r="G6" s="44" t="inlineStr">
        <is>
          <t>TSR se AEIOU/complicações graves</t>
        </is>
      </c>
      <c r="H6" s="103" t="inlineStr">
        <is>
          <t>Perfusão renal + evitar progressão</t>
        </is>
      </c>
    </row>
    <row r="7" ht="30" customHeight="1">
      <c r="A7" s="41" t="inlineStr">
        <is>
          <t>Agitação em VM</t>
        </is>
      </c>
      <c r="B7" s="30" t="inlineStr">
        <is>
          <t>Dor? Hipoxemia? Hipercapnia?</t>
        </is>
      </c>
      <c r="C7" s="30" t="inlineStr">
        <is>
          <t>Checar tubo/assincronia/delirium/abstinência</t>
        </is>
      </c>
      <c r="D7" s="30" t="inlineStr">
        <is>
          <t>Analgesia-first (fentanil)</t>
        </is>
      </c>
      <c r="E7" s="30" t="inlineStr">
        <is>
          <t>Definir RASS alvo (-1 a 0)</t>
        </is>
      </c>
      <c r="F7" s="30" t="inlineStr">
        <is>
          <t>Evitar BZD contínuo se possível</t>
        </is>
      </c>
      <c r="G7" s="30" t="inlineStr">
        <is>
          <t>CAM-ICU + sono + mobilização precoce</t>
        </is>
      </c>
      <c r="H7" s="103" t="inlineStr">
        <is>
          <t>Conforto + segurança + desmame</t>
        </is>
      </c>
    </row>
    <row r="8" ht="30" customHeight="1">
      <c r="A8" s="41" t="inlineStr">
        <is>
          <t>Choque refratário</t>
        </is>
      </c>
      <c r="B8" s="44" t="inlineStr">
        <is>
          <t>PAM/lactato/pele/diurese</t>
        </is>
      </c>
      <c r="C8" s="44" t="inlineStr">
        <is>
          <t>POCUS: coração/VCI/pulmão</t>
        </is>
      </c>
      <c r="D8" s="44" t="inlineStr">
        <is>
          <t>Fonte + ATB</t>
        </is>
      </c>
      <c r="E8" s="44" t="inlineStr">
        <is>
          <t>NE + vasopressina 0,03UI/min</t>
        </is>
      </c>
      <c r="F8" s="44" t="inlineStr">
        <is>
          <t>Epi ou dobutamina conforme perfil</t>
        </is>
      </c>
      <c r="G8" s="44" t="inlineStr">
        <is>
          <t>Corticoide, Ca, bicarbonato, tamponamento/TEP?</t>
        </is>
      </c>
      <c r="H8" s="103" t="inlineStr">
        <is>
          <t>Perfusão e causa corrigidas</t>
        </is>
      </c>
    </row>
    <row r="9" ht="30" customHeight="1">
      <c r="A9" s="41" t="inlineStr">
        <is>
          <t>Acidose metabólica</t>
        </is>
      </c>
      <c r="B9" s="30" t="inlineStr">
        <is>
          <t>AG corrigido por albumina (AG + 2,5 × [4 – albumina])</t>
        </is>
      </c>
      <c r="C9" s="30" t="inlineStr">
        <is>
          <t>Lactato / cetonas / uremia / toxinas</t>
        </is>
      </c>
      <c r="D9" s="30" t="inlineStr">
        <is>
          <t>Ventilação compensatória</t>
        </is>
      </c>
      <c r="E9" s="30" t="inlineStr">
        <is>
          <t>Tratar causa (sepse, isquemia, cetose)</t>
        </is>
      </c>
      <c r="F9" s="30" t="inlineStr">
        <is>
          <t>Bicarbonato se pH≤7,2 + AKI grave + hipercalemia</t>
        </is>
      </c>
      <c r="G9" s="30" t="inlineStr">
        <is>
          <t>TSR se indicação</t>
        </is>
      </c>
      <c r="H9" s="103" t="inlineStr">
        <is>
          <t>pH seguro + causa tratada</t>
        </is>
      </c>
    </row>
    <row r="10" ht="30" customHeight="1">
      <c r="A10" s="41" t="inlineStr">
        <is>
          <t>DPOC intubado</t>
        </is>
      </c>
      <c r="B10" s="44" t="inlineStr">
        <is>
          <t>Vt baixo/moderado 4–6 mL/kg</t>
        </is>
      </c>
      <c r="C10" s="44" t="inlineStr">
        <is>
          <t>FR baixa 10–14 irpm</t>
        </is>
      </c>
      <c r="D10" s="44" t="inlineStr">
        <is>
          <t>Fluxo alto / Ti curto</t>
        </is>
      </c>
      <c r="E10" s="44" t="inlineStr">
        <is>
          <t>Permitir hipercapnia permissiva (pH&gt;7,2)</t>
        </is>
      </c>
      <c r="F10" s="44" t="inlineStr">
        <is>
          <t>Broncodilatador inalatório + corticoide + ATB se indicado</t>
        </is>
      </c>
      <c r="G10" s="44" t="inlineStr">
        <is>
          <t>Medir auto-PEEP (oclusão expiratória)</t>
        </is>
      </c>
      <c r="H10" s="103" t="inlineStr">
        <is>
          <t>Evitar hiperinsuflação dinâmica</t>
        </is>
      </c>
    </row>
    <row r="11" ht="30" customHeight="1">
      <c r="A11" s="41" t="inlineStr">
        <is>
          <t>HIC / TCE grave</t>
        </is>
      </c>
      <c r="B11" s="30" t="inlineStr">
        <is>
          <t>Head up 30°; evitar hipóxia e hipocapnia</t>
        </is>
      </c>
      <c r="C11" s="30" t="inlineStr">
        <is>
          <t>PAM alvo para PPC ≥60–70 mmHg</t>
        </is>
      </c>
      <c r="D11" s="30" t="inlineStr">
        <is>
          <t>Solução hiperosmolar (NaCl 3% ou manitol)</t>
        </is>
      </c>
      <c r="E11" s="30" t="inlineStr">
        <is>
          <t>Sedação profunda + analgesia</t>
        </is>
      </c>
      <c r="F11" s="30" t="inlineStr">
        <is>
          <t>Hiperventilaçao temporária pCO2 30–35 se herniação iminente</t>
        </is>
      </c>
      <c r="G11" s="30" t="inlineStr">
        <is>
          <t>Drenagem LCR/Cirurgia se indicado</t>
        </is>
      </c>
      <c r="H11" s="103" t="inlineStr">
        <is>
          <t>PPC ≥60 + PIC &lt;20–22 mmHg</t>
        </is>
      </c>
    </row>
    <row r="12" ht="30" customHeight="1">
      <c r="A12" s="41" t="inlineStr">
        <is>
          <t>Hipercalemia grave (K&gt;6,5)</t>
        </is>
      </c>
      <c r="B12" s="44" t="inlineStr">
        <is>
          <t>ECG imediato (T apiculada, alarg QRS?)</t>
        </is>
      </c>
      <c r="C12" s="44" t="inlineStr">
        <is>
          <t>Gluconato Ca 10% 10mL EV em 10min (estabilizar membrana)</t>
        </is>
      </c>
      <c r="D12" s="44" t="inlineStr">
        <is>
          <t>Insulina regular 10U + SG 50% 50mL</t>
        </is>
      </c>
      <c r="E12" s="44" t="inlineStr">
        <is>
          <t>Salbutamol nebulizado 10–20mg</t>
        </is>
      </c>
      <c r="F12" s="44" t="inlineStr">
        <is>
          <t>Bicarbonato se acidose associada</t>
        </is>
      </c>
      <c r="G12" s="44" t="inlineStr">
        <is>
          <t>HD/diálise de urgência se refratário</t>
        </is>
      </c>
      <c r="H12" s="103" t="inlineStr">
        <is>
          <t>K &lt; 5,5 + ECG normalizado</t>
        </is>
      </c>
    </row>
    <row r="13" ht="30" customHeight="1">
      <c r="A13" s="41" t="inlineStr">
        <is>
          <t>Hemorragia digestiva alta</t>
        </is>
      </c>
      <c r="B13" s="30" t="inlineStr">
        <is>
          <t>Acesso + ressuscitação volêmica guiada</t>
        </is>
      </c>
      <c r="C13" s="30" t="inlineStr">
        <is>
          <t>IBP EV omeprazol 80mg bolus → 8mg/h</t>
        </is>
      </c>
      <c r="D13" s="30" t="inlineStr">
        <is>
          <t>Somatostatina/ocreotida se varizes suspeitas</t>
        </is>
      </c>
      <c r="E13" s="30" t="inlineStr">
        <is>
          <t>Endoscopia em ≤12h (24h se estável)</t>
        </is>
      </c>
      <c r="F13" s="30" t="inlineStr">
        <is>
          <t>Terlipressina se cirrose + hemorragia varicosa</t>
        </is>
      </c>
      <c r="G13" s="30" t="inlineStr">
        <is>
          <t>Cirurgia/TIPS se falha endoscópica</t>
        </is>
      </c>
      <c r="H13" s="103" t="inlineStr">
        <is>
          <t>Hemostasia + estabilidade hemodinâmica</t>
        </is>
      </c>
    </row>
    <row r="14" ht="30" customHeight="1">
      <c r="A14" s="41" t="inlineStr">
        <is>
          <t>Cetoacidose diabética</t>
        </is>
      </c>
      <c r="B14" s="44" t="inlineStr">
        <is>
          <t>Hidratação SF 0,9% 1L/h na 1ª hora</t>
        </is>
      </c>
      <c r="C14" s="44" t="inlineStr">
        <is>
          <t>Insulina regular 0,1UI/kg/h (SEM bolus inicial)</t>
        </is>
      </c>
      <c r="D14" s="44" t="inlineStr">
        <is>
          <t>Reposição K: se K&lt;3,5 → K primeiro antes insulina</t>
        </is>
      </c>
      <c r="E14" s="44" t="inlineStr">
        <is>
          <t>Monitorar glicemia 1h/1h; meta 200–250 mg/dL</t>
        </is>
      </c>
      <c r="F14" s="44" t="inlineStr">
        <is>
          <t>Quando glicemia &lt;200: trocar para SG5% + continuar insulina</t>
        </is>
      </c>
      <c r="G14" s="44" t="inlineStr">
        <is>
          <t>Tratar causa (infecção, omissão insulina)</t>
        </is>
      </c>
      <c r="H14" s="103" t="inlineStr">
        <is>
          <t>AG fechado + pH&gt;7,3 + bicarbonato &gt;15</t>
        </is>
      </c>
    </row>
    <row r="16">
      <c r="A16" s="41" t="inlineStr">
        <is>
          <t>🧠  MNEMÔNICOS ESSENCIAIS UTI</t>
        </is>
      </c>
      <c r="B16" s="4" t="n"/>
      <c r="C16" s="4" t="n"/>
      <c r="D16" s="5" t="n"/>
    </row>
    <row r="17">
      <c r="A17" s="3" t="inlineStr">
        <is>
          <t>Mnemônico</t>
        </is>
      </c>
      <c r="B17" s="3" t="inlineStr">
        <is>
          <t>Significado</t>
        </is>
      </c>
      <c r="C17" s="3" t="inlineStr">
        <is>
          <t>Uso</t>
        </is>
      </c>
      <c r="D17" s="3" t="inlineStr">
        <is>
          <t>Observação</t>
        </is>
      </c>
    </row>
    <row r="18" ht="24" customHeight="1">
      <c r="A18" s="26" t="inlineStr">
        <is>
          <t>DOPE</t>
        </is>
      </c>
      <c r="B18" s="30" t="inlineStr">
        <is>
          <t>Deslocamento · Obstrução · Pneumotórax · Equipamento</t>
        </is>
      </c>
      <c r="C18" s="30" t="inlineStr">
        <is>
          <t>Hipoxemia súbita em VM</t>
        </is>
      </c>
      <c r="D18" s="30" t="inlineStr">
        <is>
          <t>1º passo em qualquer alarme respiratório</t>
        </is>
      </c>
    </row>
    <row r="19" ht="24" customHeight="1">
      <c r="A19" s="26" t="inlineStr">
        <is>
          <t>FAST-HUGS-BID</t>
        </is>
      </c>
      <c r="B19" s="44" t="inlineStr">
        <is>
          <t>Feeding·Analgesia·Sedation·Thrombosis·Head-up·Ulcer·Glucose + Spontaneous·Bowel·Indwelling·Deescalation</t>
        </is>
      </c>
      <c r="C19" s="44" t="inlineStr">
        <is>
          <t>Checklist diário UTI</t>
        </is>
      </c>
      <c r="D19" s="44" t="inlineStr">
        <is>
          <t>Bundle de prevenção de complicações</t>
        </is>
      </c>
    </row>
    <row r="20" ht="24" customHeight="1">
      <c r="A20" s="26" t="inlineStr">
        <is>
          <t>AEIOU diálise</t>
        </is>
      </c>
      <c r="B20" s="30" t="inlineStr">
        <is>
          <t>Acidose · Eletrólitos · Intoxicação · Overload · Uremia</t>
        </is>
      </c>
      <c r="C20" s="30" t="inlineStr">
        <is>
          <t>Indicações de TSR urgente</t>
        </is>
      </c>
      <c r="D20" s="30" t="inlineStr">
        <is>
          <t>Qualquer um pode indicar diálise de urgência</t>
        </is>
      </c>
    </row>
    <row r="21" ht="24" customHeight="1">
      <c r="A21" s="26" t="inlineStr">
        <is>
          <t>RUSH</t>
        </is>
      </c>
      <c r="B21" s="44" t="inlineStr">
        <is>
          <t>Resus · US · Hemodynamic</t>
        </is>
      </c>
      <c r="C21" s="44" t="inlineStr">
        <is>
          <t>POCUS de ressuscitação</t>
        </is>
      </c>
      <c r="D21" s="44" t="inlineStr">
        <is>
          <t>Coração + Pulmão + VCI + Aorta</t>
        </is>
      </c>
    </row>
    <row r="22" ht="24" customHeight="1">
      <c r="A22" s="26" t="inlineStr">
        <is>
          <t>BLUE protocol</t>
        </is>
      </c>
      <c r="B22" s="30" t="inlineStr">
        <is>
          <t>Bilateral B-lines · Left pleueff · Echo LV · No sliding + Comet</t>
        </is>
      </c>
      <c r="C22" s="30" t="inlineStr">
        <is>
          <t>POCUS disfunção respiratória aguda</t>
        </is>
      </c>
      <c r="D22" s="30" t="inlineStr">
        <is>
          <t>Diagnóstico diferencial rápido</t>
        </is>
      </c>
    </row>
    <row r="23" ht="24" customHeight="1">
      <c r="A23" s="26" t="inlineStr">
        <is>
          <t>4T score HIT</t>
        </is>
      </c>
      <c r="B23" s="44" t="inlineStr">
        <is>
          <t>Trombocitopenia · Timing · Trombose · ouTras causas</t>
        </is>
      </c>
      <c r="C23" s="44" t="inlineStr">
        <is>
          <t>Triagem HIT</t>
        </is>
      </c>
      <c r="D23" s="44" t="inlineStr">
        <is>
          <t>≥4pts: investigar e suspender heparina</t>
        </is>
      </c>
    </row>
    <row r="24" ht="24" customHeight="1">
      <c r="A24" s="26" t="inlineStr">
        <is>
          <t>PAD guidelines</t>
        </is>
      </c>
      <c r="B24" s="30" t="inlineStr">
        <is>
          <t>Pain·Agitation·Delirium</t>
        </is>
      </c>
      <c r="C24" s="30" t="inlineStr">
        <is>
          <t>Bundle UTI — PADIS 2018</t>
        </is>
      </c>
      <c r="D24" s="30" t="inlineStr">
        <is>
          <t>Analgesia first → sedação → delirium</t>
        </is>
      </c>
    </row>
    <row r="25" ht="24" customHeight="1">
      <c r="A25" s="26" t="inlineStr">
        <is>
          <t>KDIGO AKI</t>
        </is>
      </c>
      <c r="B25" s="44" t="inlineStr">
        <is>
          <t>Cr ≥0,3mg/dL em 48h OU Cr ≥1,5× basal em 7d OU DU&lt;0,5mL/kg/h ×6h</t>
        </is>
      </c>
      <c r="C25" s="44" t="inlineStr">
        <is>
          <t>Critérios AKI</t>
        </is>
      </c>
      <c r="D25" s="44" t="inlineStr">
        <is>
          <t>Stage 1-2-3 por Cr e DU</t>
        </is>
      </c>
    </row>
  </sheetData>
  <mergeCells count="4">
    <mergeCell ref="A2:V2"/>
    <mergeCell ref="A3:H3"/>
    <mergeCell ref="A1:V1"/>
    <mergeCell ref="A16:D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374151"/>
    <outlinePr summaryBelow="1" summaryRight="1"/>
    <pageSetUpPr/>
  </sheetPr>
  <dimension ref="A1:V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72" customWidth="1" min="3" max="3"/>
    <col width="40" customWidth="1" min="4" max="4"/>
    <col width="12" customWidth="1" min="5" max="5"/>
  </cols>
  <sheetData>
    <row r="1" ht="28" customHeight="1">
      <c r="A1" s="1" t="inlineStr">
        <is>
          <t xml:space="preserve">  🏥  FONTES E LINKS — GUIDELINES 2026</t>
        </is>
      </c>
    </row>
    <row r="2" ht="16" customHeight="1">
      <c r="A2" s="2" t="inlineStr">
        <is>
          <t xml:space="preserve">  ⚙️  URLs auditáveis | Confirmar protocolo local e bula vigente no Brasil  |  Dr. Aldenir Rocha · HRN &amp; Santa Casa Sobral-CE · v2026.1</t>
        </is>
      </c>
    </row>
    <row r="3">
      <c r="A3" s="41" t="inlineStr">
        <is>
          <t>📚  FONTES PRINCIPAIS — UTI PRO 2026</t>
        </is>
      </c>
      <c r="B3" s="4" t="n"/>
      <c r="C3" s="4" t="n"/>
      <c r="D3" s="4" t="n"/>
      <c r="E3" s="5" t="n"/>
    </row>
    <row r="4">
      <c r="A4" s="3" t="inlineStr">
        <is>
          <t>Tema</t>
        </is>
      </c>
      <c r="B4" s="3" t="inlineStr">
        <is>
          <t>Fonte</t>
        </is>
      </c>
      <c r="C4" s="3" t="inlineStr">
        <is>
          <t>URL</t>
        </is>
      </c>
      <c r="D4" s="3" t="inlineStr">
        <is>
          <t>Revisão/Observação</t>
        </is>
      </c>
      <c r="E4" s="3" t="inlineStr">
        <is>
          <t>Prioridade</t>
        </is>
      </c>
    </row>
    <row r="5" ht="22" customHeight="1">
      <c r="A5" s="104" t="inlineStr">
        <is>
          <t>Sepse/Choque</t>
        </is>
      </c>
      <c r="B5" s="105" t="inlineStr">
        <is>
          <t>Surviving Sepsis Campaign 2021</t>
        </is>
      </c>
      <c r="C5" s="106" t="inlineStr">
        <is>
          <t>https://sccm.org/survivingsepsiscampaign/guidelines-and-resources</t>
        </is>
      </c>
      <c r="D5" s="105" t="inlineStr">
        <is>
          <t>SSC 2021 vigente 2026 salvo atualização local</t>
        </is>
      </c>
      <c r="E5" s="107" t="inlineStr">
        <is>
          <t>Alta</t>
        </is>
      </c>
    </row>
    <row r="6" ht="22" customHeight="1">
      <c r="A6" s="104" t="inlineStr">
        <is>
          <t>Admissão/triagem UTI</t>
        </is>
      </c>
      <c r="B6" s="108" t="inlineStr">
        <is>
          <t>SCCM ICU Admission Guidelines</t>
        </is>
      </c>
      <c r="C6" s="106" t="inlineStr">
        <is>
          <t>https://www.sccm.org/clinical-resources/guidelines/guidelines/icu-admission-discharge-and-triage-guidelines</t>
        </is>
      </c>
      <c r="D6" s="108" t="inlineStr">
        <is>
          <t>P1-P4 framework 2016; página 2026</t>
        </is>
      </c>
      <c r="E6" s="107" t="inlineStr">
        <is>
          <t>Alta</t>
        </is>
      </c>
    </row>
    <row r="7" ht="22" customHeight="1">
      <c r="A7" s="104" t="inlineStr">
        <is>
          <t>SAPS 3</t>
        </is>
      </c>
      <c r="B7" s="105" t="inlineStr">
        <is>
          <t>MDCalc SAPS 3 / Moreno et al 2005</t>
        </is>
      </c>
      <c r="C7" s="106" t="inlineStr">
        <is>
          <t>https://www.mdcalc.com/calc/10403/simplified-acute-physiology-score-saps-3</t>
        </is>
      </c>
      <c r="D7" s="105" t="inlineStr">
        <is>
          <t>Calibração regional necessária</t>
        </is>
      </c>
      <c r="E7" s="107" t="inlineStr">
        <is>
          <t>Alta</t>
        </is>
      </c>
    </row>
    <row r="8" ht="22" customHeight="1">
      <c r="A8" s="104" t="inlineStr">
        <is>
          <t>Devices / ICSRC</t>
        </is>
      </c>
      <c r="B8" s="108" t="inlineStr">
        <is>
          <t>CDC HICPAC Intravascular Catheter</t>
        </is>
      </c>
      <c r="C8" s="106" t="inlineStr">
        <is>
          <t>https://www.cdc.gov/infection-control/hcp/intravascular-catheter-related-infections/summary-recommendations.html</t>
        </is>
      </c>
      <c r="D8" s="108" t="inlineStr">
        <is>
          <t>Página CDC 2024/2026</t>
        </is>
      </c>
      <c r="E8" s="107" t="inlineStr">
        <is>
          <t>Alta</t>
        </is>
      </c>
    </row>
    <row r="9" ht="22" customHeight="1">
      <c r="A9" s="104" t="inlineStr">
        <is>
          <t>ATB HD/CRRT</t>
        </is>
      </c>
      <c r="B9" s="105" t="inlineStr">
        <is>
          <t>UCSF IDMP Antimicrobial Dosing</t>
        </is>
      </c>
      <c r="C9" s="106" t="inlineStr">
        <is>
          <t>https://idmp.ucsf.edu/antimicrobial-dosing-intermittent-continuous-hemodialysis</t>
        </is>
      </c>
      <c r="D9" s="105" t="inlineStr">
        <is>
          <t>Ativa 2026</t>
        </is>
      </c>
      <c r="E9" s="107" t="inlineStr">
        <is>
          <t>Alta</t>
        </is>
      </c>
    </row>
    <row r="10" ht="22" customHeight="1">
      <c r="A10" s="104" t="inlineStr">
        <is>
          <t>ATB doses renais</t>
        </is>
      </c>
      <c r="B10" s="108" t="inlineStr">
        <is>
          <t>Stanford ABX Dosing Reference</t>
        </is>
      </c>
      <c r="C10" s="106" t="inlineStr">
        <is>
          <t>https://med.stanford.edu/content/dam/sm/bugsanddrugs/documents/antimicrobial-dosing-protocols/SHC-ABX-Dosing-Guide.pdf</t>
        </is>
      </c>
      <c r="D10" s="108" t="inlineStr">
        <is>
          <t>Referência institucional</t>
        </is>
      </c>
      <c r="E10" s="107" t="inlineStr">
        <is>
          <t>Alta</t>
        </is>
      </c>
    </row>
    <row r="11" ht="22" customHeight="1">
      <c r="A11" s="104" t="inlineStr">
        <is>
          <t>ARDS/VM</t>
        </is>
      </c>
      <c r="B11" s="105" t="inlineStr">
        <is>
          <t>ESICM ARDS Guidelines 2023</t>
        </is>
      </c>
      <c r="C11" s="106" t="inlineStr">
        <is>
          <t>https://pmc.ncbi.nlm.nih.gov/articles/PMC10354163/</t>
        </is>
      </c>
      <c r="D11" s="105" t="inlineStr">
        <is>
          <t>Vigente 2026</t>
        </is>
      </c>
      <c r="E11" s="107" t="inlineStr">
        <is>
          <t>Alta</t>
        </is>
      </c>
    </row>
    <row r="12" ht="22" customHeight="1">
      <c r="A12" s="104" t="inlineStr">
        <is>
          <t>AKI/KDIGO</t>
        </is>
      </c>
      <c r="B12" s="108" t="inlineStr">
        <is>
          <t>KDIGO AKI guideline</t>
        </is>
      </c>
      <c r="C12" s="106" t="inlineStr">
        <is>
          <t>https://kdigo.org/guidelines/acute-kidney-injury/</t>
        </is>
      </c>
      <c r="D12" s="108" t="inlineStr">
        <is>
          <t>Update AKI/AKD — confirmar publicação</t>
        </is>
      </c>
      <c r="E12" s="107" t="inlineStr">
        <is>
          <t>Alta</t>
        </is>
      </c>
    </row>
    <row r="13" ht="22" customHeight="1">
      <c r="A13" s="104" t="inlineStr">
        <is>
          <t>Levetiracetam</t>
        </is>
      </c>
      <c r="B13" s="105" t="inlineStr">
        <is>
          <t>Pfizer/FDA labeling</t>
        </is>
      </c>
      <c r="C13" s="106" t="inlineStr">
        <is>
          <t>https://labeling.pfizer.com/ShowLabeling.aspx?id=12817</t>
        </is>
      </c>
      <c r="D13" s="105" t="inlineStr">
        <is>
          <t>Acessada 2026</t>
        </is>
      </c>
      <c r="E13" s="107" t="inlineStr">
        <is>
          <t>Alta</t>
        </is>
      </c>
    </row>
    <row r="14" ht="22" customHeight="1">
      <c r="A14" s="104" t="inlineStr">
        <is>
          <t>Enoxaparina</t>
        </is>
      </c>
      <c r="B14" s="108" t="inlineStr">
        <is>
          <t>FDA Lovenox label</t>
        </is>
      </c>
      <c r="C14" s="106" t="inlineStr">
        <is>
          <t>https://www.accessdata.fda.gov/drugsatfda_docs/label/2021/020164s129lbl.pdf</t>
        </is>
      </c>
      <c r="D14" s="108" t="inlineStr">
        <is>
          <t>Bula FDA — pode divergir da brasileira</t>
        </is>
      </c>
      <c r="E14" s="107" t="inlineStr">
        <is>
          <t>Alta</t>
        </is>
      </c>
    </row>
    <row r="15" ht="22" customHeight="1">
      <c r="A15" s="104" t="inlineStr">
        <is>
          <t>Apixabana</t>
        </is>
      </c>
      <c r="B15" s="105" t="inlineStr">
        <is>
          <t>Pfizer/EMA Eliquis</t>
        </is>
      </c>
      <c r="C15" s="106" t="inlineStr">
        <is>
          <t>https://labeling.pfizer.com/ShowLabeling.aspx?id=13446</t>
        </is>
      </c>
      <c r="D15" s="105" t="inlineStr">
        <is>
          <t>Acessada 2026</t>
        </is>
      </c>
      <c r="E15" s="107" t="inlineStr">
        <is>
          <t>Alta</t>
        </is>
      </c>
    </row>
    <row r="16" ht="22" customHeight="1">
      <c r="A16" s="104" t="inlineStr">
        <is>
          <t>Rivaroxabana</t>
        </is>
      </c>
      <c r="B16" s="108" t="inlineStr">
        <is>
          <t>EMA Xarelto</t>
        </is>
      </c>
      <c r="C16" s="106" t="inlineStr">
        <is>
          <t>https://www.ema.europa.eu/en/documents/product-information/xarelto-epar-product-information_en.pdf</t>
        </is>
      </c>
      <c r="D16" s="108" t="inlineStr">
        <is>
          <t>Bula EMA 2026</t>
        </is>
      </c>
      <c r="E16" s="107" t="inlineStr">
        <is>
          <t>Alta</t>
        </is>
      </c>
    </row>
    <row r="17" ht="22" customHeight="1">
      <c r="A17" s="104" t="inlineStr">
        <is>
          <t>HIT</t>
        </is>
      </c>
      <c r="B17" s="105" t="inlineStr">
        <is>
          <t>ASH Guidelines on HIT</t>
        </is>
      </c>
      <c r="C17" s="106" t="inlineStr">
        <is>
          <t>https://ashpublications.org/blood/article/135/23/2029/454458</t>
        </is>
      </c>
      <c r="D17" s="105" t="inlineStr">
        <is>
          <t>ASH 2019; confirmar update 2025</t>
        </is>
      </c>
      <c r="E17" s="107" t="inlineStr">
        <is>
          <t>Alta</t>
        </is>
      </c>
    </row>
    <row r="18" ht="22" customHeight="1">
      <c r="A18" s="104" t="inlineStr">
        <is>
          <t>PADIS — sedação</t>
        </is>
      </c>
      <c r="B18" s="108" t="inlineStr">
        <is>
          <t>SCCM PADIS Guidelines 2018</t>
        </is>
      </c>
      <c r="C18" s="106" t="inlineStr">
        <is>
          <t>https://www.sccm.org/ICULiberation/ABCDEF-Bundles</t>
        </is>
      </c>
      <c r="D18" s="108" t="inlineStr">
        <is>
          <t>PADIS Pain Agitation Delirium 2018</t>
        </is>
      </c>
      <c r="E18" s="107" t="inlineStr">
        <is>
          <t>Alta</t>
        </is>
      </c>
    </row>
    <row r="19" ht="22" customHeight="1">
      <c r="A19" s="104" t="inlineStr">
        <is>
          <t>Contraste/AKI</t>
        </is>
      </c>
      <c r="B19" s="105" t="inlineStr">
        <is>
          <t>ACR Manual on Contrast Media</t>
        </is>
      </c>
      <c r="C19" s="106" t="inlineStr">
        <is>
          <t>https://www.acr.org/Clinical-Resources/Contrast-Manual</t>
        </is>
      </c>
      <c r="D19" s="105" t="inlineStr">
        <is>
          <t>ACR 2024</t>
        </is>
      </c>
      <c r="E19" s="107" t="inlineStr">
        <is>
          <t>Média</t>
        </is>
      </c>
    </row>
    <row r="20" ht="22" customHeight="1">
      <c r="A20" s="104" t="inlineStr">
        <is>
          <t>HIC/TCE</t>
        </is>
      </c>
      <c r="B20" s="108" t="inlineStr">
        <is>
          <t>Brain Trauma Foundation Guidelines</t>
        </is>
      </c>
      <c r="C20" s="106" t="inlineStr">
        <is>
          <t>https://www.braintrauma.org/guidelines</t>
        </is>
      </c>
      <c r="D20" s="108" t="inlineStr">
        <is>
          <t>BTF 5ª edição</t>
        </is>
      </c>
      <c r="E20" s="107" t="inlineStr">
        <is>
          <t>Alta</t>
        </is>
      </c>
    </row>
    <row r="21" ht="22" customHeight="1">
      <c r="A21" s="104" t="inlineStr">
        <is>
          <t>Cetoacidose</t>
        </is>
      </c>
      <c r="B21" s="105" t="inlineStr">
        <is>
          <t>ADA Standards Medical Care</t>
        </is>
      </c>
      <c r="C21" s="106" t="inlineStr">
        <is>
          <t>https://diabetesjournals.org/care</t>
        </is>
      </c>
      <c r="D21" s="105" t="inlineStr">
        <is>
          <t>ADA 2025/2026</t>
        </is>
      </c>
      <c r="E21" s="107" t="inlineStr">
        <is>
          <t>Alta</t>
        </is>
      </c>
    </row>
    <row r="23">
      <c r="A23" s="109" t="inlineStr">
        <is>
          <t>⚠️  Todas as recomendações devem ser ajustadas ao protocolo local, bula ANVISA vigente e realidade do seu serviço. Guidelines internacionais são guias, não ordens automáticas.</t>
        </is>
      </c>
      <c r="B23" s="110" t="n"/>
      <c r="C23" s="110" t="n"/>
      <c r="D23" s="110" t="n"/>
      <c r="E23" s="111" t="n"/>
    </row>
  </sheetData>
  <mergeCells count="4">
    <mergeCell ref="A2:V2"/>
    <mergeCell ref="A1:V1"/>
    <mergeCell ref="A23:E2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2026-05-19T00:27:01Z</dcterms:created>
  <dcterms:modified xmlns:dcterms="http://purl.org/dc/terms/" xmlns:xsi="http://www.w3.org/2001/XMLSchema-instance" xsi:type="dcterms:W3CDTF">2026-05-19T00:27:02Z</dcterms:modified>
</cp:coreProperties>
</file>