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B580A92E-8E2B-4802-8AA2-2500F92454A9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Custos ATB UTI" sheetId="1" r:id="rId1"/>
    <sheet name="Calculadora" sheetId="2" r:id="rId2"/>
    <sheet name="Comparativo Foco" sheetId="3" r:id="rId3"/>
    <sheet name="Notas" sheetId="4" r:id="rId4"/>
  </sheets>
  <definedNames/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2"/>
  <c r="E4" i="2"/>
  <c r="E6" i="2"/>
  <c r="E8" i="2"/>
  <c r="E5" i="2"/>
  <c r="J39" i="1"/>
  <c r="K39" i="1"/>
  <c r="N39" i="1"/>
  <c r="I39" i="1"/>
  <c r="M39" i="1"/>
  <c r="M40" i="1"/>
  <c r="J40" i="1"/>
  <c r="N40" i="1"/>
  <c r="K40" i="1"/>
  <c r="I40" i="1"/>
  <c r="N42" i="1"/>
  <c r="J42" i="1"/>
  <c r="M42" i="1"/>
  <c r="I42" i="1"/>
  <c r="K42" i="1"/>
  <c r="N14" i="1"/>
  <c r="I14" i="1"/>
  <c r="J14" i="1"/>
  <c r="K14" i="1"/>
  <c r="M14" i="1"/>
  <c r="I13" i="1"/>
  <c r="J13" i="1"/>
  <c r="M13" i="1"/>
  <c r="N13" i="1"/>
  <c r="K13" i="1"/>
  <c r="J11" i="1"/>
  <c r="K11" i="1"/>
  <c r="N11" i="1"/>
  <c r="I11" i="1"/>
  <c r="M11" i="1"/>
  <c r="N38" i="1"/>
  <c r="M38" i="1"/>
  <c r="K38" i="1"/>
  <c r="J38" i="1"/>
  <c r="I38" i="1"/>
  <c r="I25" i="1"/>
  <c r="M25" i="1"/>
  <c r="N25" i="1"/>
  <c r="J25" i="1"/>
  <c r="K25" i="1"/>
  <c r="K36" i="1"/>
  <c r="J36" i="1"/>
  <c r="M36" i="1"/>
  <c r="N36" i="1"/>
  <c r="I36" i="1"/>
  <c r="N33" i="1"/>
  <c r="K33" i="1"/>
  <c r="M33" i="1"/>
  <c r="I33" i="1"/>
  <c r="J33" i="1"/>
  <c r="M5" i="1"/>
  <c r="N5" i="1"/>
  <c r="J5" i="1"/>
  <c r="I5" i="1"/>
  <c r="K5" i="1"/>
  <c r="K21" i="1"/>
  <c r="N21" i="1"/>
  <c r="I21" i="1"/>
  <c r="M21" i="1"/>
  <c r="J21" i="1"/>
  <c r="M26" i="1"/>
  <c r="N26" i="1"/>
  <c r="I26" i="1"/>
  <c r="K26" i="1"/>
  <c r="J26" i="1"/>
  <c r="I27" i="1"/>
  <c r="J27" i="1"/>
  <c r="M27" i="1"/>
  <c r="N27" i="1"/>
  <c r="K27" i="1"/>
  <c r="I34" i="1"/>
  <c r="M34" i="1"/>
  <c r="K34" i="1"/>
  <c r="N34" i="1"/>
  <c r="J34" i="1"/>
  <c r="J30" i="1"/>
  <c r="M30" i="1"/>
  <c r="I30" i="1"/>
  <c r="N30" i="1"/>
  <c r="K30" i="1"/>
  <c r="I41" i="1"/>
  <c r="K41" i="1"/>
  <c r="N41" i="1"/>
  <c r="M41" i="1"/>
  <c r="J41" i="1"/>
  <c r="K45" i="1"/>
  <c r="J45" i="1"/>
  <c r="N45" i="1"/>
  <c r="I45" i="1"/>
  <c r="M45" i="1"/>
  <c r="K10" i="1"/>
  <c r="M10" i="1"/>
  <c r="N10" i="1"/>
  <c r="I10" i="1"/>
  <c r="J10" i="1"/>
  <c r="J46" i="1"/>
  <c r="N46" i="1"/>
  <c r="K46" i="1"/>
  <c r="M46" i="1"/>
  <c r="I46" i="1"/>
  <c r="K43" i="1"/>
  <c r="I43" i="1"/>
  <c r="J43" i="1"/>
  <c r="M43" i="1"/>
  <c r="N43" i="1"/>
  <c r="K8" i="1"/>
  <c r="I8" i="1"/>
  <c r="N8" i="1"/>
  <c r="M8" i="1"/>
  <c r="J8" i="1"/>
  <c r="K28" i="1"/>
  <c r="M28" i="1"/>
  <c r="N28" i="1"/>
  <c r="I28" i="1"/>
  <c r="J28" i="1"/>
  <c r="I29" i="1"/>
  <c r="N29" i="1"/>
  <c r="J29" i="1"/>
  <c r="K29" i="1"/>
  <c r="M29" i="1"/>
  <c r="J35" i="1"/>
  <c r="N35" i="1"/>
  <c r="K35" i="1"/>
  <c r="M35" i="1"/>
  <c r="I35" i="1"/>
  <c r="N12" i="1"/>
  <c r="K12" i="1"/>
  <c r="M12" i="1"/>
  <c r="I12" i="1"/>
  <c r="J12" i="1"/>
  <c r="K7" i="1"/>
  <c r="M7" i="1"/>
  <c r="N7" i="1"/>
  <c r="I7" i="1"/>
  <c r="J7" i="1"/>
  <c r="J23" i="1"/>
  <c r="M23" i="1"/>
  <c r="N23" i="1"/>
  <c r="I23" i="1"/>
  <c r="K23" i="1"/>
  <c r="I48" i="1"/>
  <c r="M48" i="1"/>
  <c r="N48" i="1"/>
  <c r="J48" i="1"/>
  <c r="K48" i="1"/>
  <c r="M19" i="1"/>
  <c r="N19" i="1"/>
  <c r="I19" i="1"/>
  <c r="J19" i="1"/>
  <c r="K19" i="1"/>
  <c r="K37" i="1"/>
  <c r="N37" i="1"/>
  <c r="J37" i="1"/>
  <c r="I37" i="1"/>
  <c r="M37" i="1"/>
  <c r="M22" i="1"/>
  <c r="K22" i="1"/>
  <c r="I22" i="1"/>
  <c r="N22" i="1"/>
  <c r="J22" i="1"/>
  <c r="M17" i="1"/>
  <c r="N17" i="1"/>
  <c r="I17" i="1"/>
  <c r="J17" i="1"/>
  <c r="K17" i="1"/>
  <c r="M44" i="1"/>
  <c r="K44" i="1"/>
  <c r="N44" i="1"/>
  <c r="J44" i="1"/>
  <c r="I44" i="1"/>
  <c r="K18" i="1"/>
  <c r="N18" i="1"/>
  <c r="J18" i="1"/>
  <c r="M18" i="1"/>
  <c r="I18" i="1"/>
  <c r="K24" i="1"/>
  <c r="M24" i="1"/>
  <c r="J24" i="1"/>
  <c r="N24" i="1"/>
  <c r="I24" i="1"/>
  <c r="M16" i="1"/>
  <c r="J16" i="1"/>
  <c r="I16" i="1"/>
  <c r="N16" i="1"/>
  <c r="K16" i="1"/>
  <c r="I47" i="1"/>
  <c r="K47" i="1"/>
  <c r="M47" i="1"/>
  <c r="J47" i="1"/>
  <c r="N47" i="1"/>
  <c r="M15" i="1"/>
  <c r="J15" i="1"/>
  <c r="I15" i="1"/>
  <c r="N15" i="1"/>
  <c r="K15" i="1"/>
  <c r="J9" i="1"/>
  <c r="M9" i="1"/>
  <c r="K9" i="1"/>
  <c r="I9" i="1"/>
  <c r="N9" i="1"/>
  <c r="M31" i="1"/>
  <c r="I31" i="1"/>
  <c r="K31" i="1"/>
  <c r="J31" i="1"/>
  <c r="N31" i="1"/>
  <c r="K6" i="1"/>
  <c r="N6" i="1"/>
  <c r="I6" i="1"/>
  <c r="J6" i="1"/>
  <c r="M6" i="1"/>
</calcChain>
</file>

<file path=xl/sharedStrings.xml><?xml version="1.0" encoding="utf-8"?>
<sst xmlns="http://schemas.openxmlformats.org/spreadsheetml/2006/main" count="287" uniqueCount="256">
  <si>
    <t>💊 ANTIBIÓTICOS NA UTI — CUSTOS DE TRATAMENTO COMPLETO | Dr. Aldenir Rocha | Sobral-CE 🏥</t>
  </si>
  <si>
    <t>Antibiótico</t>
  </si>
  <si>
    <t>Classe</t>
  </si>
  <si>
    <t>Apresentação</t>
  </si>
  <si>
    <t>Preço Mín (R$)</t>
  </si>
  <si>
    <t>Preço Máx (R$)</t>
  </si>
  <si>
    <t>Dose padrão UTI</t>
  </si>
  <si>
    <t>Frasco/dose</t>
  </si>
  <si>
    <t>Doses/dia</t>
  </si>
  <si>
    <t>Frascos/dia</t>
  </si>
  <si>
    <t>Custo/dia Mín (R$)</t>
  </si>
  <si>
    <t>Custo/dia Máx (R$)</t>
  </si>
  <si>
    <t>Duração (d)</t>
  </si>
  <si>
    <t>Custo total Mín (R$)</t>
  </si>
  <si>
    <t>Custo total Máx (R$)</t>
  </si>
  <si>
    <t>🟢 TIER 1 — BAIXO CUSTO (Genéricos / SUS)</t>
  </si>
  <si>
    <t>Ampicilina-Sulbactam</t>
  </si>
  <si>
    <t>Beta-lactâmico + IBL</t>
  </si>
  <si>
    <t>1g+0,5g FA</t>
  </si>
  <si>
    <t>3g (2g+1g) 6/6h</t>
  </si>
  <si>
    <t>Ceftriaxona</t>
  </si>
  <si>
    <t>Cefalosporina 3ª G</t>
  </si>
  <si>
    <t>1g FA</t>
  </si>
  <si>
    <t>2g 12/12h</t>
  </si>
  <si>
    <t>Cefazolina</t>
  </si>
  <si>
    <t>Cefalosporina 1ª G</t>
  </si>
  <si>
    <t>2g 8/8h</t>
  </si>
  <si>
    <t>Cefuroxima</t>
  </si>
  <si>
    <t>Cefalosporina 2ª G</t>
  </si>
  <si>
    <t>750mg FA</t>
  </si>
  <si>
    <t>1,5g 8/8h</t>
  </si>
  <si>
    <t>Oxacilina</t>
  </si>
  <si>
    <t>Penicilina antiestafilocócica</t>
  </si>
  <si>
    <t>500mg FA</t>
  </si>
  <si>
    <t>2g 4/4h</t>
  </si>
  <si>
    <t>Penicilina G Cristalina</t>
  </si>
  <si>
    <t>Penicilina natural</t>
  </si>
  <si>
    <t>5MUI FA</t>
  </si>
  <si>
    <t>4MUI 4/4h</t>
  </si>
  <si>
    <t>Metronidazol</t>
  </si>
  <si>
    <t>Nitroimidazólico</t>
  </si>
  <si>
    <t>500mg/100mL bolsa</t>
  </si>
  <si>
    <t>500mg 8/8h</t>
  </si>
  <si>
    <t>Amicacina</t>
  </si>
  <si>
    <t>Aminoglicosídeo</t>
  </si>
  <si>
    <t>500mg/2mL ampola</t>
  </si>
  <si>
    <t>15mg/kg/dia (1g)</t>
  </si>
  <si>
    <t>Gentamicina</t>
  </si>
  <si>
    <t>80mg/2mL ampola</t>
  </si>
  <si>
    <t>5mg/kg/dia (350mg)</t>
  </si>
  <si>
    <t>Clindamicina</t>
  </si>
  <si>
    <t>Lincosamida</t>
  </si>
  <si>
    <t>600mg/4mL</t>
  </si>
  <si>
    <t>600mg 8/8h</t>
  </si>
  <si>
    <t>Vancomicina</t>
  </si>
  <si>
    <t>Glicopeptídeo</t>
  </si>
  <si>
    <t>500mg FA (genérico)</t>
  </si>
  <si>
    <t>30mg/kg/d (~4g)</t>
  </si>
  <si>
    <t>Azitromicina</t>
  </si>
  <si>
    <t>Macrolídeo</t>
  </si>
  <si>
    <t>500mg/dia</t>
  </si>
  <si>
    <t>Levofloxacino</t>
  </si>
  <si>
    <t>Fluoroquinolona</t>
  </si>
  <si>
    <t>750mg/dia</t>
  </si>
  <si>
    <t>Ciprofloxacino</t>
  </si>
  <si>
    <t>400mg/200mL bolsa</t>
  </si>
  <si>
    <t>400mg 8/8h</t>
  </si>
  <si>
    <t>SMX-TMP</t>
  </si>
  <si>
    <t>Sulfa</t>
  </si>
  <si>
    <t>400+80mg/5mL ampola</t>
  </si>
  <si>
    <t>15mg/kg/d TMP (6 amp)</t>
  </si>
  <si>
    <t>🟡 TIER 2 — CUSTO INTERMEDIÁRIO</t>
  </si>
  <si>
    <t>Cefepima</t>
  </si>
  <si>
    <t>Cefalosporina 4ª G</t>
  </si>
  <si>
    <t>Ceftazidima</t>
  </si>
  <si>
    <t>Cefalosporina 3ª G antipseudomonas</t>
  </si>
  <si>
    <t>Meropenem</t>
  </si>
  <si>
    <t>Carbapenêmico</t>
  </si>
  <si>
    <t>1g FA (genérico)</t>
  </si>
  <si>
    <t>1g 8/8h (até 2g)</t>
  </si>
  <si>
    <t>Imipenem-Cilastatina</t>
  </si>
  <si>
    <t>500mg 6/6h</t>
  </si>
  <si>
    <t>Ertapenem</t>
  </si>
  <si>
    <t>1g/dia</t>
  </si>
  <si>
    <t>Piperacilina-Tazobactam</t>
  </si>
  <si>
    <t>Penicilina + IBL</t>
  </si>
  <si>
    <t>4,5g FA</t>
  </si>
  <si>
    <t>4,5g 6/6h</t>
  </si>
  <si>
    <t>Aztreonam</t>
  </si>
  <si>
    <t>Monobactâmico</t>
  </si>
  <si>
    <t>Teicoplanina</t>
  </si>
  <si>
    <t>400mg FA</t>
  </si>
  <si>
    <t>400mg 12/12h</t>
  </si>
  <si>
    <t>Fluconazol</t>
  </si>
  <si>
    <t>Triazol</t>
  </si>
  <si>
    <t>200mg/100mL bolsa</t>
  </si>
  <si>
    <t>400-800mg/d</t>
  </si>
  <si>
    <t>Voriconazol IV</t>
  </si>
  <si>
    <t>200mg FA</t>
  </si>
  <si>
    <t>4mg/kg 12/12h</t>
  </si>
  <si>
    <t>Anfotericina B desoxicolato</t>
  </si>
  <si>
    <t>Polieno</t>
  </si>
  <si>
    <t>50mg FA</t>
  </si>
  <si>
    <t>0,7-1mg/kg/d</t>
  </si>
  <si>
    <t>🔴 TIER 3 — ALTO CUSTO (Resgate / Pan-resistentes)</t>
  </si>
  <si>
    <t>Linezolida IV</t>
  </si>
  <si>
    <t>Oxazolidinona</t>
  </si>
  <si>
    <t>600mg/300mL bolsa</t>
  </si>
  <si>
    <t>600mg 12/12h</t>
  </si>
  <si>
    <t>Linezolida VO</t>
  </si>
  <si>
    <t>600mg comp (genérico)</t>
  </si>
  <si>
    <t>Polimixina B</t>
  </si>
  <si>
    <t>Polimixina</t>
  </si>
  <si>
    <t>500.000UI FA</t>
  </si>
  <si>
    <t>15-25mil UI/kg/d (5FA)</t>
  </si>
  <si>
    <t>Colistina (CMS)</t>
  </si>
  <si>
    <t>150mg base FA</t>
  </si>
  <si>
    <t>5MUI 12/12h</t>
  </si>
  <si>
    <t>Tigeciclina</t>
  </si>
  <si>
    <t>Glicilciclina</t>
  </si>
  <si>
    <t>Ataque 100mg→50mg 12/12h</t>
  </si>
  <si>
    <t>Daptomicina</t>
  </si>
  <si>
    <t>Lipopeptídeo</t>
  </si>
  <si>
    <t>6-10mg/kg/dia</t>
  </si>
  <si>
    <t>Ceftazidima-Avibactam</t>
  </si>
  <si>
    <t>Cef 3ª + IBL nova geração</t>
  </si>
  <si>
    <t>2g+0,5g FA (Torgena®)</t>
  </si>
  <si>
    <t>2,5g 8/8h</t>
  </si>
  <si>
    <t>Ceftolozane-Tazobactam</t>
  </si>
  <si>
    <t>Cef 5ª + IBL</t>
  </si>
  <si>
    <t>1g+0,5g FA (Zerbaxa®)</t>
  </si>
  <si>
    <t>Cefiderocol</t>
  </si>
  <si>
    <t>Sideróforo cefalospor.</t>
  </si>
  <si>
    <t>1g FA (Fetcroja®)</t>
  </si>
  <si>
    <t>Meropenem-Vaborbactam</t>
  </si>
  <si>
    <t>Carbapenêmico + IBL</t>
  </si>
  <si>
    <t>2g+2g FA (Vabomere®)</t>
  </si>
  <si>
    <t>4g 8/8h</t>
  </si>
  <si>
    <t>Anfotericina B Lipossomal</t>
  </si>
  <si>
    <t>Polieno lipossomal</t>
  </si>
  <si>
    <t>50mg FA (Ambisome®)</t>
  </si>
  <si>
    <t>3-5mg/kg/d (~5FA)</t>
  </si>
  <si>
    <t>Anidulafungina</t>
  </si>
  <si>
    <t>Equinocandina</t>
  </si>
  <si>
    <t>100mg FA</t>
  </si>
  <si>
    <t>Ataque 200mg→100mg/d</t>
  </si>
  <si>
    <t>Caspofungina</t>
  </si>
  <si>
    <t>Ataque 70mg→50mg/d</t>
  </si>
  <si>
    <t>Micafungina</t>
  </si>
  <si>
    <t>100-150mg/dia</t>
  </si>
  <si>
    <t>Ganciclovir</t>
  </si>
  <si>
    <t>Antiviral</t>
  </si>
  <si>
    <t>5mg/kg 12/12h (~350mg)</t>
  </si>
  <si>
    <t>Aciclovir IV</t>
  </si>
  <si>
    <t>250mg FA</t>
  </si>
  <si>
    <t>10mg/kg 8/8h (~700mg)</t>
  </si>
  <si>
    <t>🧮 CALCULADORA DE CUSTO INDIVIDUALIZADO</t>
  </si>
  <si>
    <t>Parâmetro</t>
  </si>
  <si>
    <t>Valor</t>
  </si>
  <si>
    <t>Resultado</t>
  </si>
  <si>
    <t>R$</t>
  </si>
  <si>
    <t>Preço por frasco (R$)</t>
  </si>
  <si>
    <t>Frascos por dose</t>
  </si>
  <si>
    <t>Custo/dia (R$)</t>
  </si>
  <si>
    <t>Doses por dia</t>
  </si>
  <si>
    <t>Custo total tratamento (R$)</t>
  </si>
  <si>
    <t>Duração do tratamento (dias)</t>
  </si>
  <si>
    <t>Custo mensal (R$)</t>
  </si>
  <si>
    <t>Nº de pacientes/mês</t>
  </si>
  <si>
    <t>Custo anual (R$)</t>
  </si>
  <si>
    <t>💡 Como usar:</t>
  </si>
  <si>
    <t>1. Edite as células AMARELAS (B4 a B8) com os dados do antibiótico</t>
  </si>
  <si>
    <t>2. As células VERDES recalculam automaticamente</t>
  </si>
  <si>
    <t>3. Use a aba "Custos ATB UTI" como referência de preços</t>
  </si>
  <si>
    <t>⚠️ Preços são estimativas baseadas em distribuidoras hospitalares brasileiras (2025) — variam conforme licitação SUS/convênio</t>
  </si>
  <si>
    <t>🦠 COMPARATIVO CUSTO-EFETIVIDADE POR FOCO INFECCIOSO (14 dias)</t>
  </si>
  <si>
    <t>Cenário Clínico</t>
  </si>
  <si>
    <t>Antibiótico Recomendado</t>
  </si>
  <si>
    <t>Custo 14d Mín (R$)</t>
  </si>
  <si>
    <t>Custo 14d Máx (R$)</t>
  </si>
  <si>
    <t>Tier</t>
  </si>
  <si>
    <t>Observação</t>
  </si>
  <si>
    <t>Sepse comunitária sem FR</t>
  </si>
  <si>
    <t>Ceftriaxona 2g 12/12h</t>
  </si>
  <si>
    <t>Boa cobertura, baixíssimo custo</t>
  </si>
  <si>
    <t>Sepse comunitária + atípicos</t>
  </si>
  <si>
    <t>Ceftriaxona + Azitromicina</t>
  </si>
  <si>
    <t>Cobertura para Legionella</t>
  </si>
  <si>
    <t>PAC grave</t>
  </si>
  <si>
    <t>Ceftriaxona + Levofloxacino 750mg</t>
  </si>
  <si>
    <t>Cobertura ampla</t>
  </si>
  <si>
    <t>PAV / IRAS sem MR</t>
  </si>
  <si>
    <t>Pip-Tazobactam 4,5g 6/6h</t>
  </si>
  <si>
    <t>Cobertura empírica padrão</t>
  </si>
  <si>
    <t>PAV com FR para MR</t>
  </si>
  <si>
    <t>Meropenem 1g 8/8h + Vanco</t>
  </si>
  <si>
    <t>Combinar com vancomicina</t>
  </si>
  <si>
    <t>Sepse abdominal</t>
  </si>
  <si>
    <t>Pip-Tazo OU Mero + Metro</t>
  </si>
  <si>
    <t>Cobertura anaeróbia</t>
  </si>
  <si>
    <t>ITU complicada com ESBL</t>
  </si>
  <si>
    <t>Ertapenem 1g/dia</t>
  </si>
  <si>
    <t>Não cobre Pseudomonas</t>
  </si>
  <si>
    <t>Bacteremia MRSA</t>
  </si>
  <si>
    <t>Vancomicina 1g 12/12h</t>
  </si>
  <si>
    <t>Monitorar nível sérico</t>
  </si>
  <si>
    <t>PAV MRSA</t>
  </si>
  <si>
    <t>Linezolida 600mg 12/12h IV</t>
  </si>
  <si>
    <t>Melhor penetração pulmonar</t>
  </si>
  <si>
    <t>Endocardite enterocócica VRE</t>
  </si>
  <si>
    <t>Daptomicina 10mg/kg/d</t>
  </si>
  <si>
    <t>6 semanas tratamento</t>
  </si>
  <si>
    <t>KPC confirmada</t>
  </si>
  <si>
    <t>Ceftaz-Avibactam 2,5g 8/8h</t>
  </si>
  <si>
    <t>Padrão-ouro p/ KPC</t>
  </si>
  <si>
    <t>NDM/MBL</t>
  </si>
  <si>
    <t>Ceftaz-Avibactam + Aztreonam</t>
  </si>
  <si>
    <t>Sinergismo necessário</t>
  </si>
  <si>
    <t>Acinetobacter XDR</t>
  </si>
  <si>
    <t>Polimixina B 1,5MUI 12/12h</t>
  </si>
  <si>
    <t>Considerar combinação</t>
  </si>
  <si>
    <t>Pseudomonas pan-R</t>
  </si>
  <si>
    <t>Ceftolozane-Tazo OU Cefiderocol</t>
  </si>
  <si>
    <t>Cefidero &gt;&gt; Ceftolo (custo)</t>
  </si>
  <si>
    <t>Candidemia (não-albicans)</t>
  </si>
  <si>
    <t>Anidulafungina 100mg/d</t>
  </si>
  <si>
    <t>Padrão de UTI</t>
  </si>
  <si>
    <t>Aspergilose invasiva</t>
  </si>
  <si>
    <t>Voriconazol IV 4mg/kg 12/12h</t>
  </si>
  <si>
    <t>14 dias mínimo</t>
  </si>
  <si>
    <t>Mucormicose</t>
  </si>
  <si>
    <t>Anf B Lipossomal 5mg/kg/d</t>
  </si>
  <si>
    <t>Cirurgia + antifúngico</t>
  </si>
  <si>
    <t>📋 NOTAS METODOLÓGICAS E DISCLAIMERS</t>
  </si>
  <si>
    <t>Data de referência</t>
  </si>
  <si>
    <t>Outubro 2025 / Atualização: Abril 2026</t>
  </si>
  <si>
    <t>Fonte de preços</t>
  </si>
  <si>
    <t>Distribuidoras hospitalares brasileiras (Cliquefarma, Distribuidora Hospitalar, Magazine Médica, ABL, Blau, Aurobindo, Biochimico)</t>
  </si>
  <si>
    <t>Cálculo de doses</t>
  </si>
  <si>
    <t>Considera paciente adulto 70kg, função renal preservada (ClCr &gt; 60mL/min)</t>
  </si>
  <si>
    <t>Variação de preço</t>
  </si>
  <si>
    <t>Preços hospitalares variam conforme: licitação SUS, contratos com fontes pagadoras, marca (referência vs. genérico), volume de compra</t>
  </si>
  <si>
    <t>Preços SUS</t>
  </si>
  <si>
    <t>Para preços oficiais do SUS, consultar BNAFAR (https://bnafar.saude.gov.br) — geralmente até 50% inferiores aos privados</t>
  </si>
  <si>
    <t>Preço CMED</t>
  </si>
  <si>
    <t>PMVG (Preço Máximo de Venda ao Governo) regulamentado pela CMED/ANVISA</t>
  </si>
  <si>
    <t>Antibióticos de alto custo</t>
  </si>
  <si>
    <t>Ceftaz-Avibactam, Ceftolozane-Tazo, Cefiderocol e Meropenem-Vaborbactam frequentemente exigem solicitação especial (CCIH/farmácia)</t>
  </si>
  <si>
    <t>Ajuste renal</t>
  </si>
  <si>
    <t>TODAS as doses devem ser revisadas conforme função renal — pode reduzir custo significativamente</t>
  </si>
  <si>
    <t>Stewardship</t>
  </si>
  <si>
    <t>Descalonamento ativo após cultura pode reduzir custos em 40-70%</t>
  </si>
  <si>
    <t>Disclaimer</t>
  </si>
  <si>
    <t>Esta planilha é ferramenta de apoio à decisão clínica e farmacoeconômica. Decisões terapêuticas finais devem considerar microbiologia local, perfil do paciente, protocolos institucionais e diretrizes vigentes (Surviving Sepsis 2021, AMIB, IDSA)</t>
  </si>
  <si>
    <t>Autoria</t>
  </si>
  <si>
    <t>Compilação para Dr. Aldenir Rocha — Intensivista — Hospital Regional Norte / Santa Casa de Sobral-CE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</si>
</sst>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rial"/>
      <family val="2"/>
      <scheme val="minor"/>
    </font>
    <font>
      <name val="Calibri"/>
      <sz val="11.00"/>
      <color rgb="FF000000"/>
      <family val="2"/>
    </font>
    <font>
      <name val="Arial"/>
      <sz val="12.00"/>
      <b/>
      <color rgb="FFFFFFFF"/>
      <family val="2"/>
    </font>
    <font>
      <name val="Arial"/>
      <sz val="11.00"/>
      <b/>
      <color rgb="FF0000FF"/>
      <family val="2"/>
    </font>
    <font>
      <name val="Arial"/>
      <sz val="11.00"/>
      <b/>
      <color rgb="FFFFFFFF"/>
      <family val="2"/>
    </font>
    <font>
      <name val="Arial"/>
      <sz val="11.00"/>
      <b/>
      <family val="2"/>
    </font>
    <font>
      <name val="Arial"/>
      <sz val="11.00"/>
      <b/>
      <color rgb="FF006100"/>
      <family val="2"/>
    </font>
    <font>
      <name val="Arial"/>
      <sz val="14.00"/>
      <b/>
      <color rgb="FFFFFFFF"/>
      <family val="2"/>
    </font>
    <font>
      <name val="Arial"/>
      <sz val="12.00"/>
      <b/>
      <family val="2"/>
    </font>
  </fonts>
  <fills count="17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30549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0B2545"/>
        <bgColor indexed="64"/>
      </patternFill>
    </fill>
  </fills>
  <borders count="16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0" fontId="0" fillId="0" borderId="0"/>
    <xf fontId="1" applyFont="1" fillId="2" applyFill="1" borderId="1" applyBorder="1" applyAlignment="1">
      <alignment vertical="center" horizontal="center" wrapText="0"/>
    </xf>
    <xf fontId="1" applyFont="1" applyAlignment="1">
      <alignment vertical="bottom" horizontal="left" wrapText="0"/>
    </xf>
    <xf fontId="2" applyFont="1" fillId="3" applyFill="1" applyAlignment="1">
      <alignment vertical="center" horizontal="left" wrapText="0"/>
    </xf>
    <xf fontId="1" applyFont="1" fillId="4" applyFill="1" borderId="2" applyBorder="1" applyAlignment="1">
      <alignment vertical="center" horizontal="left" wrapText="0"/>
    </xf>
    <xf fontId="3" applyFont="1" fillId="5" applyFill="1" borderId="3" applyBorder="1" applyAlignment="1">
      <alignment vertical="center" horizontal="center" wrapText="0"/>
    </xf>
    <xf fontId="1" applyFont="1" fillId="6" applyFill="1" borderId="4" applyBorder="1" applyAlignment="1">
      <alignment vertical="center" horizontal="left" wrapText="0"/>
    </xf>
    <xf fontId="1" applyFont="1" fillId="7" applyFill="1" borderId="5" applyBorder="1" applyAlignment="1">
      <alignment vertical="bottom" horizontal="left" wrapText="0"/>
    </xf>
    <xf fontId="1" applyFont="1" fillId="8" applyFill="1" borderId="6" applyBorder="1" applyAlignment="1">
      <alignment vertical="bottom" horizontal="left" wrapText="0"/>
    </xf>
    <xf fontId="4" applyFont="1" fillId="9" applyFill="1" borderId="7" applyBorder="1" applyAlignment="1">
      <alignment vertical="center" horizontal="center" wrapText="0"/>
    </xf>
    <xf fontId="5" applyFont="1" fillId="10" applyFill="1" borderId="8" applyBorder="1" applyAlignment="1">
      <alignment vertical="top" horizontal="left" wrapText="0"/>
    </xf>
    <xf fontId="1" applyFont="1" borderId="9" applyBorder="1" applyAlignment="1">
      <alignment vertical="top" horizontal="left" wrapText="0"/>
    </xf>
    <xf fontId="1" applyFont="1" fillId="11" applyFill="1" borderId="10" applyBorder="1" applyAlignment="1">
      <alignment vertical="center" horizontal="center" wrapText="0"/>
    </xf>
    <xf fontId="5" applyFont="1" borderId="11" applyBorder="1" applyAlignment="1">
      <alignment vertical="bottom" horizontal="left" wrapText="0"/>
    </xf>
    <xf fontId="6" applyFont="1" fillId="12" applyFill="1" borderId="12" applyBorder="1" applyAlignment="1">
      <alignment vertical="center" horizontal="center" wrapText="0"/>
    </xf>
    <xf fontId="1" applyFont="1" fillId="13" applyFill="1" borderId="13" applyBorder="1" applyAlignment="1">
      <alignment vertical="center" horizontal="center" wrapText="0"/>
    </xf>
    <xf fontId="1" applyFont="1" fillId="14" applyFill="1" borderId="14" applyBorder="1" applyAlignment="1">
      <alignment vertical="bottom" horizontal="left" wrapText="0"/>
    </xf>
    <xf fontId="1" applyFont="1" fillId="15" applyFill="1" borderId="15" applyBorder="1" applyAlignment="1">
      <alignment vertical="center" horizontal="left" wrapText="0"/>
    </xf>
    <xf fontId="7" applyFont="1" fillId="16" applyFill="1" applyAlignment="1">
      <alignment vertical="center" horizontal="center" wrapText="0"/>
    </xf>
    <xf fontId="8" applyFont="1" applyAlignment="1">
      <alignment vertical="bottom" horizontal="left" wrapText="0"/>
    </xf>
  </cellStyleXfs>
  <cellXfs count="20">
    <xf numFmtId="0" fontId="0" fillId="0" borderId="0" xfId="0"/>
    <xf xfId="18" quotePrefix="0" pivotButton="0" fontId="7" applyFont="1" fillId="16" applyFill="1" applyAlignment="1">
      <alignment vertical="center" horizontal="center" wrapText="0"/>
    </xf>
    <xf xfId="9" quotePrefix="0" pivotButton="0" fontId="4" applyFont="1" fillId="9" applyFill="1" borderId="7" applyBorder="1" applyAlignment="1">
      <alignment vertical="center" horizontal="center" wrapText="0"/>
    </xf>
    <xf xfId="3" quotePrefix="0" pivotButton="0" fontId="2" applyFont="1" fillId="3" applyFill="1" applyAlignment="1">
      <alignment vertical="center" horizontal="left" wrapText="0"/>
    </xf>
    <xf xfId="17" quotePrefix="0" pivotButton="0" fontId="1" applyFont="1" fillId="15" applyFill="1" borderId="15" applyBorder="1" applyAlignment="1">
      <alignment vertical="center" horizontal="left" wrapText="0"/>
    </xf>
    <xf xfId="12" quotePrefix="0" pivotButton="0" fontId="1" applyFont="1" fillId="11" applyFill="1" borderId="10" applyBorder="1" applyAlignment="1">
      <alignment vertical="center" horizontal="center" wrapText="0"/>
    </xf>
    <xf xfId="6" quotePrefix="0" pivotButton="0" fontId="1" applyFont="1" fillId="6" applyFill="1" borderId="4" applyBorder="1" applyAlignment="1">
      <alignment vertical="center" horizontal="left" wrapText="0"/>
    </xf>
    <xf xfId="15" quotePrefix="0" pivotButton="0" fontId="1" applyFont="1" fillId="13" applyFill="1" borderId="13" applyBorder="1" applyAlignment="1">
      <alignment vertical="center" horizontal="center" wrapText="0"/>
    </xf>
    <xf xfId="4" quotePrefix="0" pivotButton="0" fontId="1" applyFont="1" fillId="4" applyFill="1" borderId="2" applyBorder="1" applyAlignment="1">
      <alignment vertical="center" horizontal="left" wrapText="0"/>
    </xf>
    <xf xfId="1" quotePrefix="0" pivotButton="0" fontId="1" applyFont="1" fillId="2" applyFill="1" borderId="1" applyBorder="1" applyAlignment="1">
      <alignment vertical="center" horizontal="center" wrapText="0"/>
    </xf>
    <xf xfId="13" quotePrefix="0" pivotButton="0" fontId="5" applyFont="1" borderId="11" applyBorder="1" applyAlignment="1">
      <alignment vertical="bottom" horizontal="left" wrapText="0"/>
    </xf>
    <xf xfId="5" quotePrefix="0" pivotButton="0" fontId="3" applyFont="1" fillId="5" applyFill="1" borderId="3" applyBorder="1" applyAlignment="1">
      <alignment vertical="center" horizontal="center" wrapText="0"/>
    </xf>
    <xf xfId="14" quotePrefix="0" pivotButton="0" fontId="6" applyFont="1" fillId="12" applyFill="1" borderId="12" applyBorder="1" applyAlignment="1">
      <alignment vertical="center" horizontal="center" wrapText="0"/>
    </xf>
    <xf xfId="19" quotePrefix="0" pivotButton="0" fontId="8" applyFont="1" applyAlignment="1">
      <alignment vertical="bottom" horizontal="left" wrapText="0"/>
    </xf>
    <xf xfId="2" quotePrefix="0" pivotButton="0" fontId="1" applyFont="1" applyAlignment="1">
      <alignment vertical="bottom" horizontal="left" wrapText="0"/>
    </xf>
    <xf xfId="7" quotePrefix="0" pivotButton="0" fontId="1" applyFont="1" fillId="7" applyFill="1" borderId="5" applyBorder="1" applyAlignment="1">
      <alignment vertical="bottom" horizontal="left" wrapText="0"/>
    </xf>
    <xf xfId="8" quotePrefix="0" pivotButton="0" fontId="1" applyFont="1" fillId="8" applyFill="1" borderId="6" applyBorder="1" applyAlignment="1">
      <alignment vertical="bottom" horizontal="left" wrapText="0"/>
    </xf>
    <xf xfId="16" quotePrefix="0" pivotButton="0" fontId="1" applyFont="1" fillId="14" applyFill="1" borderId="14" applyBorder="1" applyAlignment="1">
      <alignment vertical="bottom" horizontal="left" wrapText="0"/>
    </xf>
    <xf xfId="10" quotePrefix="0" pivotButton="0" fontId="5" applyFont="1" fillId="10" applyFill="1" borderId="8" applyBorder="1" applyAlignment="1">
      <alignment vertical="top" horizontal="left" wrapText="0"/>
    </xf>
    <xf xfId="11" quotePrefix="0" pivotButton="0" fontId="1" applyFont="1" borderId="9" applyBorder="1" applyAlignment="1">
      <alignment vertical="top" horizontal="left" wrapText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theme" Target="theme/theme1.xml"/>
<Relationship Id="rId6" Type="http://schemas.openxmlformats.org/officeDocument/2006/relationships/sharedStrings" Target="sharedStrings.xml"/>
<Relationship Id="rId7" Type="http://schemas.openxmlformats.org/officeDocument/2006/relationships/styles" Target="styles.xml"/>
<Relationship Id="rId8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pane xSplit="3" ySplit="3" topLeftCell="D4" activePane="bottomRight" state="frozen"/>
      <selection activeCell="A1" sqref="A1"/>
    </sheetView>
  </sheetViews>
  <sheetFormatPr defaultRowHeight="15.00" customHeight="1" defaultColWidth="8.71"/>
  <cols>
    <col min="1" max="2" width="27.96" customWidth="1" hidden="0"/>
    <col min="3" max="3" width="26.00" customWidth="1" hidden="0"/>
    <col min="4" max="5" width="13.00" customWidth="1" hidden="0"/>
    <col min="6" max="6" width="26.00" customWidth="1" hidden="0"/>
    <col min="7" max="7" width="11.04" customWidth="1" hidden="0"/>
    <col min="8" max="8" width="10.06" customWidth="1" hidden="0"/>
    <col min="9" max="9" width="11.04" customWidth="1" hidden="0"/>
    <col min="10" max="11" width="15.94" customWidth="1" hidden="0"/>
    <col min="12" max="12" width="11.04" customWidth="1" hidden="0"/>
    <col min="13" max="14" width="18.03" customWidth="1" hidden="0"/>
  </cols>
  <sheetData>
    <row r="1" ht="30.00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ht="45.00" customHeight="tru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</row>
    <row r="4" ht="21.75" customHeight="true">
      <c r="A4" s="3" t="s">
        <v>15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ht="15.00" customHeight="true">
      <c r="A5" s="4" t="s">
        <v>16</v>
      </c>
      <c r="B5" s="4" t="s">
        <v>17</v>
      </c>
      <c r="C5" s="4" t="s">
        <v>18</v>
      </c>
      <c r="D5" s="5">
        <v>8</v>
      </c>
      <c r="E5" s="5">
        <v>15</v>
      </c>
      <c r="F5" s="4" t="s">
        <v>19</v>
      </c>
      <c r="G5" s="5">
        <v>2</v>
      </c>
      <c r="H5" s="5">
        <v>4</v>
      </c>
      <c r="I5" s="5">
        <f>=G5*H5</f>
      </c>
      <c r="J5" s="5">
        <f>=D5*I5</f>
      </c>
      <c r="K5" s="5">
        <f>=E5*I5</f>
      </c>
      <c r="L5" s="5">
        <v>7</v>
      </c>
      <c r="M5" s="5">
        <f>=J5*L5</f>
      </c>
      <c r="N5" s="5">
        <f>=K5*L5</f>
      </c>
    </row>
    <row r="6" ht="15.00" customHeight="true">
      <c r="A6" s="4" t="s">
        <v>20</v>
      </c>
      <c r="B6" s="4" t="s">
        <v>21</v>
      </c>
      <c r="C6" s="4" t="s">
        <v>22</v>
      </c>
      <c r="D6" s="5">
        <v>6</v>
      </c>
      <c r="E6" s="5">
        <v>12</v>
      </c>
      <c r="F6" s="4" t="s">
        <v>23</v>
      </c>
      <c r="G6" s="5">
        <v>2</v>
      </c>
      <c r="H6" s="5">
        <v>2</v>
      </c>
      <c r="I6" s="5">
        <f>=G6*H6</f>
      </c>
      <c r="J6" s="5">
        <f>=D6*I6</f>
      </c>
      <c r="K6" s="5">
        <f>=E6*I6</f>
      </c>
      <c r="L6" s="5">
        <v>7</v>
      </c>
      <c r="M6" s="5">
        <f>=J6*L6</f>
      </c>
      <c r="N6" s="5">
        <f>=K6*L6</f>
      </c>
    </row>
    <row r="7" ht="15.00" customHeight="true">
      <c r="A7" s="4" t="s">
        <v>24</v>
      </c>
      <c r="B7" s="4" t="s">
        <v>25</v>
      </c>
      <c r="C7" s="4" t="s">
        <v>22</v>
      </c>
      <c r="D7" s="5">
        <v>5</v>
      </c>
      <c r="E7" s="5">
        <v>10</v>
      </c>
      <c r="F7" s="4" t="s">
        <v>26</v>
      </c>
      <c r="G7" s="5">
        <v>2</v>
      </c>
      <c r="H7" s="5">
        <v>3</v>
      </c>
      <c r="I7" s="5">
        <f>=G7*H7</f>
      </c>
      <c r="J7" s="5">
        <f>=D7*I7</f>
      </c>
      <c r="K7" s="5">
        <f>=E7*I7</f>
      </c>
      <c r="L7" s="5">
        <v>7</v>
      </c>
      <c r="M7" s="5">
        <f>=J7*L7</f>
      </c>
      <c r="N7" s="5">
        <f>=K7*L7</f>
      </c>
    </row>
    <row r="8" ht="15.00" customHeight="true">
      <c r="A8" s="4" t="s">
        <v>27</v>
      </c>
      <c r="B8" s="4" t="s">
        <v>28</v>
      </c>
      <c r="C8" s="4" t="s">
        <v>29</v>
      </c>
      <c r="D8" s="5">
        <v>8</v>
      </c>
      <c r="E8" s="5">
        <v>15</v>
      </c>
      <c r="F8" s="4" t="s">
        <v>30</v>
      </c>
      <c r="G8" s="5">
        <v>2</v>
      </c>
      <c r="H8" s="5">
        <v>3</v>
      </c>
      <c r="I8" s="5">
        <f>=G8*H8</f>
      </c>
      <c r="J8" s="5">
        <f>=D8*I8</f>
      </c>
      <c r="K8" s="5">
        <f>=E8*I8</f>
      </c>
      <c r="L8" s="5">
        <v>7</v>
      </c>
      <c r="M8" s="5">
        <f>=J8*L8</f>
      </c>
      <c r="N8" s="5">
        <f>=K8*L8</f>
      </c>
    </row>
    <row r="9" ht="15.00" customHeight="true">
      <c r="A9" s="4" t="s">
        <v>31</v>
      </c>
      <c r="B9" s="4" t="s">
        <v>32</v>
      </c>
      <c r="C9" s="4" t="s">
        <v>33</v>
      </c>
      <c r="D9" s="5">
        <v>4</v>
      </c>
      <c r="E9" s="5">
        <v>9</v>
      </c>
      <c r="F9" s="4" t="s">
        <v>34</v>
      </c>
      <c r="G9" s="5">
        <v>4</v>
      </c>
      <c r="H9" s="5">
        <v>6</v>
      </c>
      <c r="I9" s="5">
        <f>=G9*H9</f>
      </c>
      <c r="J9" s="5">
        <f>=D9*I9</f>
      </c>
      <c r="K9" s="5">
        <f>=E9*I9</f>
      </c>
      <c r="L9" s="5">
        <v>14</v>
      </c>
      <c r="M9" s="5">
        <f>=J9*L9</f>
      </c>
      <c r="N9" s="5">
        <f>=K9*L9</f>
      </c>
    </row>
    <row r="10" ht="15.00" customHeight="true">
      <c r="A10" s="4" t="s">
        <v>35</v>
      </c>
      <c r="B10" s="4" t="s">
        <v>36</v>
      </c>
      <c r="C10" s="4" t="s">
        <v>37</v>
      </c>
      <c r="D10" s="5">
        <v>8</v>
      </c>
      <c r="E10" s="5">
        <v>18</v>
      </c>
      <c r="F10" s="4" t="s">
        <v>38</v>
      </c>
      <c r="G10" s="5">
        <v>1</v>
      </c>
      <c r="H10" s="5">
        <v>6</v>
      </c>
      <c r="I10" s="5">
        <f>=G10*H10</f>
      </c>
      <c r="J10" s="5">
        <f>=D10*I10</f>
      </c>
      <c r="K10" s="5">
        <f>=E10*I10</f>
      </c>
      <c r="L10" s="5">
        <v>14</v>
      </c>
      <c r="M10" s="5">
        <f>=J10*L10</f>
      </c>
      <c r="N10" s="5">
        <f>=K10*L10</f>
      </c>
    </row>
    <row r="11" ht="15.00" customHeight="true">
      <c r="A11" s="4" t="s">
        <v>39</v>
      </c>
      <c r="B11" s="4" t="s">
        <v>40</v>
      </c>
      <c r="C11" s="4" t="s">
        <v>41</v>
      </c>
      <c r="D11" s="5">
        <v>3</v>
      </c>
      <c r="E11" s="5">
        <v>8</v>
      </c>
      <c r="F11" s="4" t="s">
        <v>42</v>
      </c>
      <c r="G11" s="5">
        <v>1</v>
      </c>
      <c r="H11" s="5">
        <v>3</v>
      </c>
      <c r="I11" s="5">
        <f>=G11*H11</f>
      </c>
      <c r="J11" s="5">
        <f>=D11*I11</f>
      </c>
      <c r="K11" s="5">
        <f>=E11*I11</f>
      </c>
      <c r="L11" s="5">
        <v>7</v>
      </c>
      <c r="M11" s="5">
        <f>=J11*L11</f>
      </c>
      <c r="N11" s="5">
        <f>=K11*L11</f>
      </c>
    </row>
    <row r="12" ht="15.00" customHeight="true">
      <c r="A12" s="4" t="s">
        <v>43</v>
      </c>
      <c r="B12" s="4" t="s">
        <v>44</v>
      </c>
      <c r="C12" s="4" t="s">
        <v>45</v>
      </c>
      <c r="D12" s="5">
        <v>5</v>
      </c>
      <c r="E12" s="5">
        <v>10</v>
      </c>
      <c r="F12" s="4" t="s">
        <v>46</v>
      </c>
      <c r="G12" s="5">
        <v>2</v>
      </c>
      <c r="H12" s="5">
        <v>1</v>
      </c>
      <c r="I12" s="5">
        <f>=G12*H12</f>
      </c>
      <c r="J12" s="5">
        <f>=D12*I12</f>
      </c>
      <c r="K12" s="5">
        <f>=E12*I12</f>
      </c>
      <c r="L12" s="5">
        <v>7</v>
      </c>
      <c r="M12" s="5">
        <f>=J12*L12</f>
      </c>
      <c r="N12" s="5">
        <f>=K12*L12</f>
      </c>
    </row>
    <row r="13" ht="15.00" customHeight="true">
      <c r="A13" s="4" t="s">
        <v>47</v>
      </c>
      <c r="B13" s="4" t="s">
        <v>44</v>
      </c>
      <c r="C13" s="4" t="s">
        <v>48</v>
      </c>
      <c r="D13" s="5">
        <v>3</v>
      </c>
      <c r="E13" s="5">
        <v>7</v>
      </c>
      <c r="F13" s="4" t="s">
        <v>49</v>
      </c>
      <c r="G13" s="5">
        <v>1</v>
      </c>
      <c r="H13" s="5">
        <v>1</v>
      </c>
      <c r="I13" s="5">
        <f>=G13*H13</f>
      </c>
      <c r="J13" s="5">
        <f>=D13*I13</f>
      </c>
      <c r="K13" s="5">
        <f>=E13*I13</f>
      </c>
      <c r="L13" s="5">
        <v>7</v>
      </c>
      <c r="M13" s="5">
        <f>=J13*L13</f>
      </c>
      <c r="N13" s="5">
        <f>=K13*L13</f>
      </c>
    </row>
    <row r="14" ht="15.00" customHeight="true">
      <c r="A14" s="4" t="s">
        <v>50</v>
      </c>
      <c r="B14" s="4" t="s">
        <v>51</v>
      </c>
      <c r="C14" s="4" t="s">
        <v>52</v>
      </c>
      <c r="D14" s="5">
        <v>5</v>
      </c>
      <c r="E14" s="5">
        <v>12</v>
      </c>
      <c r="F14" s="4" t="s">
        <v>53</v>
      </c>
      <c r="G14" s="5">
        <v>1</v>
      </c>
      <c r="H14" s="5">
        <v>3</v>
      </c>
      <c r="I14" s="5">
        <f>=G14*H14</f>
      </c>
      <c r="J14" s="5">
        <f>=D14*I14</f>
      </c>
      <c r="K14" s="5">
        <f>=E14*I14</f>
      </c>
      <c r="L14" s="5">
        <v>7</v>
      </c>
      <c r="M14" s="5">
        <f>=J14*L14</f>
      </c>
      <c r="N14" s="5">
        <f>=K14*L14</f>
      </c>
    </row>
    <row r="15" ht="15.00" customHeight="true">
      <c r="A15" s="4" t="s">
        <v>54</v>
      </c>
      <c r="B15" s="4" t="s">
        <v>55</v>
      </c>
      <c r="C15" s="4" t="s">
        <v>56</v>
      </c>
      <c r="D15" s="5">
        <v>12</v>
      </c>
      <c r="E15" s="5">
        <v>25</v>
      </c>
      <c r="F15" s="4" t="s">
        <v>57</v>
      </c>
      <c r="G15" s="5">
        <v>2</v>
      </c>
      <c r="H15" s="5">
        <v>4</v>
      </c>
      <c r="I15" s="5">
        <f>=G15*H15</f>
      </c>
      <c r="J15" s="5">
        <f>=D15*I15</f>
      </c>
      <c r="K15" s="5">
        <f>=E15*I15</f>
      </c>
      <c r="L15" s="5">
        <v>10</v>
      </c>
      <c r="M15" s="5">
        <f>=J15*L15</f>
      </c>
      <c r="N15" s="5">
        <f>=K15*L15</f>
      </c>
    </row>
    <row r="16" ht="15.00" customHeight="true">
      <c r="A16" s="4" t="s">
        <v>58</v>
      </c>
      <c r="B16" s="4" t="s">
        <v>59</v>
      </c>
      <c r="C16" s="4" t="s">
        <v>33</v>
      </c>
      <c r="D16" s="5">
        <v>10</v>
      </c>
      <c r="E16" s="5">
        <v>25</v>
      </c>
      <c r="F16" s="4" t="s">
        <v>60</v>
      </c>
      <c r="G16" s="5">
        <v>1</v>
      </c>
      <c r="H16" s="5">
        <v>1</v>
      </c>
      <c r="I16" s="5">
        <f>=G16*H16</f>
      </c>
      <c r="J16" s="5">
        <f>=D16*I16</f>
      </c>
      <c r="K16" s="5">
        <f>=E16*I16</f>
      </c>
      <c r="L16" s="5">
        <v>5</v>
      </c>
      <c r="M16" s="5">
        <f>=J16*L16</f>
      </c>
      <c r="N16" s="5">
        <f>=K16*L16</f>
      </c>
    </row>
    <row r="17" ht="15.00" customHeight="true">
      <c r="A17" s="4" t="s">
        <v>61</v>
      </c>
      <c r="B17" s="4" t="s">
        <v>62</v>
      </c>
      <c r="C17" s="4" t="s">
        <v>41</v>
      </c>
      <c r="D17" s="5">
        <v>8</v>
      </c>
      <c r="E17" s="5">
        <v>20</v>
      </c>
      <c r="F17" s="4" t="s">
        <v>63</v>
      </c>
      <c r="G17" s="5">
        <v>1.5</v>
      </c>
      <c r="H17" s="5">
        <v>1</v>
      </c>
      <c r="I17" s="5">
        <f>=G17*H17</f>
      </c>
      <c r="J17" s="5">
        <f>=D17*I17</f>
      </c>
      <c r="K17" s="5">
        <f>=E17*I17</f>
      </c>
      <c r="L17" s="5">
        <v>7</v>
      </c>
      <c r="M17" s="5">
        <f>=J17*L17</f>
      </c>
      <c r="N17" s="5">
        <f>=K17*L17</f>
      </c>
    </row>
    <row r="18" ht="15.00" customHeight="true">
      <c r="A18" s="4" t="s">
        <v>64</v>
      </c>
      <c r="B18" s="4" t="s">
        <v>62</v>
      </c>
      <c r="C18" s="4" t="s">
        <v>65</v>
      </c>
      <c r="D18" s="5">
        <v>6</v>
      </c>
      <c r="E18" s="5">
        <v>15</v>
      </c>
      <c r="F18" s="4" t="s">
        <v>66</v>
      </c>
      <c r="G18" s="5">
        <v>1</v>
      </c>
      <c r="H18" s="5">
        <v>3</v>
      </c>
      <c r="I18" s="5">
        <f>=G18*H18</f>
      </c>
      <c r="J18" s="5">
        <f>=D18*I18</f>
      </c>
      <c r="K18" s="5">
        <f>=E18*I18</f>
      </c>
      <c r="L18" s="5">
        <v>7</v>
      </c>
      <c r="M18" s="5">
        <f>=J18*L18</f>
      </c>
      <c r="N18" s="5">
        <f>=K18*L18</f>
      </c>
    </row>
    <row r="19" ht="15.00" customHeight="true">
      <c r="A19" s="4" t="s">
        <v>67</v>
      </c>
      <c r="B19" s="4" t="s">
        <v>68</v>
      </c>
      <c r="C19" s="4" t="s">
        <v>69</v>
      </c>
      <c r="D19" s="5">
        <v>4</v>
      </c>
      <c r="E19" s="5">
        <v>10</v>
      </c>
      <c r="F19" s="4" t="s">
        <v>70</v>
      </c>
      <c r="G19" s="5">
        <v>6</v>
      </c>
      <c r="H19" s="5">
        <v>1</v>
      </c>
      <c r="I19" s="5">
        <f>=G19*H19</f>
      </c>
      <c r="J19" s="5">
        <f>=D19*I19</f>
      </c>
      <c r="K19" s="5">
        <f>=E19*I19</f>
      </c>
      <c r="L19" s="5">
        <v>14</v>
      </c>
      <c r="M19" s="5">
        <f>=J19*L19</f>
      </c>
      <c r="N19" s="5">
        <f>=K19*L19</f>
      </c>
    </row>
    <row r="20" ht="21.75" customHeight="true">
      <c r="A20" s="3" t="s">
        <v>71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ht="15.00" customHeight="true">
      <c r="A21" s="6" t="s">
        <v>72</v>
      </c>
      <c r="B21" s="6" t="s">
        <v>73</v>
      </c>
      <c r="C21" s="6" t="s">
        <v>22</v>
      </c>
      <c r="D21" s="7">
        <v>15</v>
      </c>
      <c r="E21" s="7">
        <v>30</v>
      </c>
      <c r="F21" s="6" t="s">
        <v>26</v>
      </c>
      <c r="G21" s="7">
        <v>2</v>
      </c>
      <c r="H21" s="7">
        <v>3</v>
      </c>
      <c r="I21" s="7">
        <f>=G21*H21</f>
      </c>
      <c r="J21" s="7">
        <f>=D21*I21</f>
      </c>
      <c r="K21" s="7">
        <f>=E21*I21</f>
      </c>
      <c r="L21" s="7">
        <v>7</v>
      </c>
      <c r="M21" s="7">
        <f>=J21*L21</f>
      </c>
      <c r="N21" s="7">
        <f>=K21*L21</f>
      </c>
    </row>
    <row r="22" ht="28.50" customHeight="true">
      <c r="A22" s="6" t="s">
        <v>74</v>
      </c>
      <c r="B22" s="6" t="s">
        <v>75</v>
      </c>
      <c r="C22" s="6" t="s">
        <v>22</v>
      </c>
      <c r="D22" s="7">
        <v>18</v>
      </c>
      <c r="E22" s="7">
        <v>35</v>
      </c>
      <c r="F22" s="6" t="s">
        <v>26</v>
      </c>
      <c r="G22" s="7">
        <v>2</v>
      </c>
      <c r="H22" s="7">
        <v>3</v>
      </c>
      <c r="I22" s="7">
        <f>=G22*H22</f>
      </c>
      <c r="J22" s="7">
        <f>=D22*I22</f>
      </c>
      <c r="K22" s="7">
        <f>=E22*I22</f>
      </c>
      <c r="L22" s="7">
        <v>7</v>
      </c>
      <c r="M22" s="7">
        <f>=J22*L22</f>
      </c>
      <c r="N22" s="7">
        <f>=K22*L22</f>
      </c>
    </row>
    <row r="23" ht="15.00" customHeight="true">
      <c r="A23" s="6" t="s">
        <v>76</v>
      </c>
      <c r="B23" s="6" t="s">
        <v>77</v>
      </c>
      <c r="C23" s="6" t="s">
        <v>78</v>
      </c>
      <c r="D23" s="7">
        <v>20</v>
      </c>
      <c r="E23" s="7">
        <v>45</v>
      </c>
      <c r="F23" s="6" t="s">
        <v>79</v>
      </c>
      <c r="G23" s="7">
        <v>1</v>
      </c>
      <c r="H23" s="7">
        <v>3</v>
      </c>
      <c r="I23" s="7">
        <f>=G23*H23</f>
      </c>
      <c r="J23" s="7">
        <f>=D23*I23</f>
      </c>
      <c r="K23" s="7">
        <f>=E23*I23</f>
      </c>
      <c r="L23" s="7">
        <v>10</v>
      </c>
      <c r="M23" s="7">
        <f>=J23*L23</f>
      </c>
      <c r="N23" s="7">
        <f>=K23*L23</f>
      </c>
    </row>
    <row r="24" ht="15.00" customHeight="true">
      <c r="A24" s="6" t="s">
        <v>80</v>
      </c>
      <c r="B24" s="6" t="s">
        <v>77</v>
      </c>
      <c r="C24" s="6" t="s">
        <v>33</v>
      </c>
      <c r="D24" s="7">
        <v>25</v>
      </c>
      <c r="E24" s="7">
        <v>55</v>
      </c>
      <c r="F24" s="6" t="s">
        <v>81</v>
      </c>
      <c r="G24" s="7">
        <v>1</v>
      </c>
      <c r="H24" s="7">
        <v>4</v>
      </c>
      <c r="I24" s="7">
        <f>=G24*H24</f>
      </c>
      <c r="J24" s="7">
        <f>=D24*I24</f>
      </c>
      <c r="K24" s="7">
        <f>=E24*I24</f>
      </c>
      <c r="L24" s="7">
        <v>10</v>
      </c>
      <c r="M24" s="7">
        <f>=J24*L24</f>
      </c>
      <c r="N24" s="7">
        <f>=K24*L24</f>
      </c>
    </row>
    <row r="25" ht="15.00" customHeight="true">
      <c r="A25" s="6" t="s">
        <v>82</v>
      </c>
      <c r="B25" s="6" t="s">
        <v>77</v>
      </c>
      <c r="C25" s="6" t="s">
        <v>22</v>
      </c>
      <c r="D25" s="7">
        <v>80</v>
      </c>
      <c r="E25" s="7">
        <v>150</v>
      </c>
      <c r="F25" s="6" t="s">
        <v>83</v>
      </c>
      <c r="G25" s="7">
        <v>1</v>
      </c>
      <c r="H25" s="7">
        <v>1</v>
      </c>
      <c r="I25" s="7">
        <f>=G25*H25</f>
      </c>
      <c r="J25" s="7">
        <f>=D25*I25</f>
      </c>
      <c r="K25" s="7">
        <f>=E25*I25</f>
      </c>
      <c r="L25" s="7">
        <v>7</v>
      </c>
      <c r="M25" s="7">
        <f>=J25*L25</f>
      </c>
      <c r="N25" s="7">
        <f>=K25*L25</f>
      </c>
    </row>
    <row r="26" ht="15.00" customHeight="true">
      <c r="A26" s="6" t="s">
        <v>84</v>
      </c>
      <c r="B26" s="6" t="s">
        <v>85</v>
      </c>
      <c r="C26" s="6" t="s">
        <v>86</v>
      </c>
      <c r="D26" s="7">
        <v>30</v>
      </c>
      <c r="E26" s="7">
        <v>80</v>
      </c>
      <c r="F26" s="6" t="s">
        <v>87</v>
      </c>
      <c r="G26" s="7">
        <v>1</v>
      </c>
      <c r="H26" s="7">
        <v>4</v>
      </c>
      <c r="I26" s="7">
        <f>=G26*H26</f>
      </c>
      <c r="J26" s="7">
        <f>=D26*I26</f>
      </c>
      <c r="K26" s="7">
        <f>=E26*I26</f>
      </c>
      <c r="L26" s="7">
        <v>7</v>
      </c>
      <c r="M26" s="7">
        <f>=J26*L26</f>
      </c>
      <c r="N26" s="7">
        <f>=K26*L26</f>
      </c>
    </row>
    <row r="27" ht="15.00" customHeight="true">
      <c r="A27" s="6" t="s">
        <v>88</v>
      </c>
      <c r="B27" s="6" t="s">
        <v>89</v>
      </c>
      <c r="C27" s="6" t="s">
        <v>22</v>
      </c>
      <c r="D27" s="7">
        <v>40</v>
      </c>
      <c r="E27" s="7">
        <v>90</v>
      </c>
      <c r="F27" s="6" t="s">
        <v>26</v>
      </c>
      <c r="G27" s="7">
        <v>2</v>
      </c>
      <c r="H27" s="7">
        <v>3</v>
      </c>
      <c r="I27" s="7">
        <f>=G27*H27</f>
      </c>
      <c r="J27" s="7">
        <f>=D27*I27</f>
      </c>
      <c r="K27" s="7">
        <f>=E27*I27</f>
      </c>
      <c r="L27" s="7">
        <v>7</v>
      </c>
      <c r="M27" s="7">
        <f>=J27*L27</f>
      </c>
      <c r="N27" s="7">
        <f>=K27*L27</f>
      </c>
    </row>
    <row r="28" ht="15.00" customHeight="true">
      <c r="A28" s="6" t="s">
        <v>90</v>
      </c>
      <c r="B28" s="6" t="s">
        <v>55</v>
      </c>
      <c r="C28" s="6" t="s">
        <v>91</v>
      </c>
      <c r="D28" s="7">
        <v>60</v>
      </c>
      <c r="E28" s="7">
        <v>130</v>
      </c>
      <c r="F28" s="6" t="s">
        <v>92</v>
      </c>
      <c r="G28" s="7">
        <v>1</v>
      </c>
      <c r="H28" s="7">
        <v>2</v>
      </c>
      <c r="I28" s="7">
        <f>=G28*H28</f>
      </c>
      <c r="J28" s="7">
        <f>=D28*I28</f>
      </c>
      <c r="K28" s="7">
        <f>=E28*I28</f>
      </c>
      <c r="L28" s="7">
        <v>10</v>
      </c>
      <c r="M28" s="7">
        <f>=J28*L28</f>
      </c>
      <c r="N28" s="7">
        <f>=K28*L28</f>
      </c>
    </row>
    <row r="29" ht="15.00" customHeight="true">
      <c r="A29" s="6" t="s">
        <v>93</v>
      </c>
      <c r="B29" s="6" t="s">
        <v>94</v>
      </c>
      <c r="C29" s="6" t="s">
        <v>95</v>
      </c>
      <c r="D29" s="7">
        <v>15</v>
      </c>
      <c r="E29" s="7">
        <v>35</v>
      </c>
      <c r="F29" s="6" t="s">
        <v>96</v>
      </c>
      <c r="G29" s="7">
        <v>2</v>
      </c>
      <c r="H29" s="7">
        <v>1</v>
      </c>
      <c r="I29" s="7">
        <f>=G29*H29</f>
      </c>
      <c r="J29" s="7">
        <f>=D29*I29</f>
      </c>
      <c r="K29" s="7">
        <f>=E29*I29</f>
      </c>
      <c r="L29" s="7">
        <v>14</v>
      </c>
      <c r="M29" s="7">
        <f>=J29*L29</f>
      </c>
      <c r="N29" s="7">
        <f>=K29*L29</f>
      </c>
    </row>
    <row r="30" ht="15.00" customHeight="true">
      <c r="A30" s="6" t="s">
        <v>97</v>
      </c>
      <c r="B30" s="6" t="s">
        <v>94</v>
      </c>
      <c r="C30" s="6" t="s">
        <v>98</v>
      </c>
      <c r="D30" s="7">
        <v>80</v>
      </c>
      <c r="E30" s="7">
        <v>180</v>
      </c>
      <c r="F30" s="6" t="s">
        <v>99</v>
      </c>
      <c r="G30" s="7">
        <v>2</v>
      </c>
      <c r="H30" s="7">
        <v>2</v>
      </c>
      <c r="I30" s="7">
        <f>=G30*H30</f>
      </c>
      <c r="J30" s="7">
        <f>=D30*I30</f>
      </c>
      <c r="K30" s="7">
        <f>=E30*I30</f>
      </c>
      <c r="L30" s="7">
        <v>14</v>
      </c>
      <c r="M30" s="7">
        <f>=J30*L30</f>
      </c>
      <c r="N30" s="7">
        <f>=K30*L30</f>
      </c>
    </row>
    <row r="31" ht="15.00" customHeight="true">
      <c r="A31" s="6" t="s">
        <v>100</v>
      </c>
      <c r="B31" s="6" t="s">
        <v>101</v>
      </c>
      <c r="C31" s="6" t="s">
        <v>102</v>
      </c>
      <c r="D31" s="7">
        <v>25</v>
      </c>
      <c r="E31" s="7">
        <v>60</v>
      </c>
      <c r="F31" s="6" t="s">
        <v>103</v>
      </c>
      <c r="G31" s="7">
        <v>1</v>
      </c>
      <c r="H31" s="7">
        <v>1</v>
      </c>
      <c r="I31" s="7">
        <f>=G31*H31</f>
      </c>
      <c r="J31" s="7">
        <f>=D31*I31</f>
      </c>
      <c r="K31" s="7">
        <f>=E31*I31</f>
      </c>
      <c r="L31" s="7">
        <v>14</v>
      </c>
      <c r="M31" s="7">
        <f>=J31*L31</f>
      </c>
      <c r="N31" s="7">
        <f>=K31*L31</f>
      </c>
    </row>
    <row r="32" ht="21.75" customHeight="true">
      <c r="A32" s="3" t="s">
        <v>104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</row>
    <row r="33" ht="15.00" customHeight="true">
      <c r="A33" s="8" t="s">
        <v>105</v>
      </c>
      <c r="B33" s="8" t="s">
        <v>106</v>
      </c>
      <c r="C33" s="8" t="s">
        <v>107</v>
      </c>
      <c r="D33" s="9">
        <v>150</v>
      </c>
      <c r="E33" s="9">
        <v>400</v>
      </c>
      <c r="F33" s="8" t="s">
        <v>108</v>
      </c>
      <c r="G33" s="9">
        <v>1</v>
      </c>
      <c r="H33" s="9">
        <v>2</v>
      </c>
      <c r="I33" s="9">
        <f>=G33*H33</f>
      </c>
      <c r="J33" s="9">
        <f>=D33*I33</f>
      </c>
      <c r="K33" s="9">
        <f>=E33*I33</f>
      </c>
      <c r="L33" s="9">
        <v>10</v>
      </c>
      <c r="M33" s="9">
        <f>=J33*L33</f>
      </c>
      <c r="N33" s="9">
        <f>=K33*L33</f>
      </c>
    </row>
    <row r="34" ht="15.00" customHeight="true">
      <c r="A34" s="8" t="s">
        <v>109</v>
      </c>
      <c r="B34" s="8" t="s">
        <v>106</v>
      </c>
      <c r="C34" s="8" t="s">
        <v>110</v>
      </c>
      <c r="D34" s="9">
        <v>50</v>
      </c>
      <c r="E34" s="9">
        <v>75</v>
      </c>
      <c r="F34" s="8" t="s">
        <v>108</v>
      </c>
      <c r="G34" s="9">
        <v>1</v>
      </c>
      <c r="H34" s="9">
        <v>2</v>
      </c>
      <c r="I34" s="9">
        <f>=G34*H34</f>
      </c>
      <c r="J34" s="9">
        <f>=D34*I34</f>
      </c>
      <c r="K34" s="9">
        <f>=E34*I34</f>
      </c>
      <c r="L34" s="9">
        <v>10</v>
      </c>
      <c r="M34" s="9">
        <f>=J34*L34</f>
      </c>
      <c r="N34" s="9">
        <f>=K34*L34</f>
      </c>
    </row>
    <row r="35" ht="15.00" customHeight="true">
      <c r="A35" s="8" t="s">
        <v>111</v>
      </c>
      <c r="B35" s="8" t="s">
        <v>112</v>
      </c>
      <c r="C35" s="8" t="s">
        <v>113</v>
      </c>
      <c r="D35" s="9">
        <v>80</v>
      </c>
      <c r="E35" s="9">
        <v>200</v>
      </c>
      <c r="F35" s="8" t="s">
        <v>114</v>
      </c>
      <c r="G35" s="9">
        <v>5</v>
      </c>
      <c r="H35" s="9">
        <v>1</v>
      </c>
      <c r="I35" s="9">
        <f>=G35*H35</f>
      </c>
      <c r="J35" s="9">
        <f>=D35*I35</f>
      </c>
      <c r="K35" s="9">
        <f>=E35*I35</f>
      </c>
      <c r="L35" s="9">
        <v>10</v>
      </c>
      <c r="M35" s="9">
        <f>=J35*L35</f>
      </c>
      <c r="N35" s="9">
        <f>=K35*L35</f>
      </c>
    </row>
    <row r="36" ht="15.00" customHeight="true">
      <c r="A36" s="8" t="s">
        <v>115</v>
      </c>
      <c r="B36" s="8" t="s">
        <v>112</v>
      </c>
      <c r="C36" s="8" t="s">
        <v>116</v>
      </c>
      <c r="D36" s="9">
        <v>100</v>
      </c>
      <c r="E36" s="9">
        <v>300</v>
      </c>
      <c r="F36" s="8" t="s">
        <v>117</v>
      </c>
      <c r="G36" s="9">
        <v>2</v>
      </c>
      <c r="H36" s="9">
        <v>2</v>
      </c>
      <c r="I36" s="9">
        <f>=G36*H36</f>
      </c>
      <c r="J36" s="9">
        <f>=D36*I36</f>
      </c>
      <c r="K36" s="9">
        <f>=E36*I36</f>
      </c>
      <c r="L36" s="9">
        <v>10</v>
      </c>
      <c r="M36" s="9">
        <f>=J36*L36</f>
      </c>
      <c r="N36" s="9">
        <f>=K36*L36</f>
      </c>
    </row>
    <row r="37" ht="28.50" customHeight="true">
      <c r="A37" s="8" t="s">
        <v>118</v>
      </c>
      <c r="B37" s="8" t="s">
        <v>119</v>
      </c>
      <c r="C37" s="8" t="s">
        <v>102</v>
      </c>
      <c r="D37" s="9">
        <v>200</v>
      </c>
      <c r="E37" s="9">
        <v>400</v>
      </c>
      <c r="F37" s="8" t="s">
        <v>120</v>
      </c>
      <c r="G37" s="9">
        <v>1</v>
      </c>
      <c r="H37" s="9">
        <v>2</v>
      </c>
      <c r="I37" s="9">
        <f>=G37*H37</f>
      </c>
      <c r="J37" s="9">
        <f>=D37*I37</f>
      </c>
      <c r="K37" s="9">
        <f>=E37*I37</f>
      </c>
      <c r="L37" s="9">
        <v>10</v>
      </c>
      <c r="M37" s="9">
        <f>=J37*L37</f>
      </c>
      <c r="N37" s="9">
        <f>=K37*L37</f>
      </c>
    </row>
    <row r="38" ht="15.00" customHeight="true">
      <c r="A38" s="8" t="s">
        <v>121</v>
      </c>
      <c r="B38" s="8" t="s">
        <v>122</v>
      </c>
      <c r="C38" s="8" t="s">
        <v>33</v>
      </c>
      <c r="D38" s="9">
        <v>500</v>
      </c>
      <c r="E38" s="9">
        <v>900</v>
      </c>
      <c r="F38" s="8" t="s">
        <v>123</v>
      </c>
      <c r="G38" s="9">
        <v>1</v>
      </c>
      <c r="H38" s="9">
        <v>1</v>
      </c>
      <c r="I38" s="9">
        <f>=G38*H38</f>
      </c>
      <c r="J38" s="9">
        <f>=D38*I38</f>
      </c>
      <c r="K38" s="9">
        <f>=E38*I38</f>
      </c>
      <c r="L38" s="9">
        <v>10</v>
      </c>
      <c r="M38" s="9">
        <f>=J38*L38</f>
      </c>
      <c r="N38" s="9">
        <f>=K38*L38</f>
      </c>
    </row>
    <row r="39" ht="15.00" customHeight="true">
      <c r="A39" s="8" t="s">
        <v>124</v>
      </c>
      <c r="B39" s="8" t="s">
        <v>125</v>
      </c>
      <c r="C39" s="8" t="s">
        <v>126</v>
      </c>
      <c r="D39" s="9">
        <v>800</v>
      </c>
      <c r="E39" s="9">
        <v>1500</v>
      </c>
      <c r="F39" s="8" t="s">
        <v>127</v>
      </c>
      <c r="G39" s="9">
        <v>1</v>
      </c>
      <c r="H39" s="9">
        <v>3</v>
      </c>
      <c r="I39" s="9">
        <f>=G39*H39</f>
      </c>
      <c r="J39" s="9">
        <f>=D39*I39</f>
      </c>
      <c r="K39" s="9">
        <f>=E39*I39</f>
      </c>
      <c r="L39" s="9">
        <v>14</v>
      </c>
      <c r="M39" s="9">
        <f>=J39*L39</f>
      </c>
      <c r="N39" s="9">
        <f>=K39*L39</f>
      </c>
    </row>
    <row r="40" ht="15.00" customHeight="true">
      <c r="A40" s="8" t="s">
        <v>128</v>
      </c>
      <c r="B40" s="8" t="s">
        <v>129</v>
      </c>
      <c r="C40" s="8" t="s">
        <v>130</v>
      </c>
      <c r="D40" s="9">
        <v>600</v>
      </c>
      <c r="E40" s="9">
        <v>1200</v>
      </c>
      <c r="F40" s="8" t="s">
        <v>30</v>
      </c>
      <c r="G40" s="9">
        <v>1</v>
      </c>
      <c r="H40" s="9">
        <v>3</v>
      </c>
      <c r="I40" s="9">
        <f>=G40*H40</f>
      </c>
      <c r="J40" s="9">
        <f>=D40*I40</f>
      </c>
      <c r="K40" s="9">
        <f>=E40*I40</f>
      </c>
      <c r="L40" s="9">
        <v>14</v>
      </c>
      <c r="M40" s="9">
        <f>=J40*L40</f>
      </c>
      <c r="N40" s="9">
        <f>=K40*L40</f>
      </c>
    </row>
    <row r="41" ht="15.00" customHeight="true">
      <c r="A41" s="8" t="s">
        <v>131</v>
      </c>
      <c r="B41" s="8" t="s">
        <v>132</v>
      </c>
      <c r="C41" s="8" t="s">
        <v>133</v>
      </c>
      <c r="D41" s="9">
        <v>1200</v>
      </c>
      <c r="E41" s="9">
        <v>2500</v>
      </c>
      <c r="F41" s="8" t="s">
        <v>26</v>
      </c>
      <c r="G41" s="9">
        <v>2</v>
      </c>
      <c r="H41" s="9">
        <v>3</v>
      </c>
      <c r="I41" s="9">
        <f>=G41*H41</f>
      </c>
      <c r="J41" s="9">
        <f>=D41*I41</f>
      </c>
      <c r="K41" s="9">
        <f>=E41*I41</f>
      </c>
      <c r="L41" s="9">
        <v>14</v>
      </c>
      <c r="M41" s="9">
        <f>=J41*L41</f>
      </c>
      <c r="N41" s="9">
        <f>=K41*L41</f>
      </c>
    </row>
    <row r="42" ht="15.00" customHeight="true">
      <c r="A42" s="8" t="s">
        <v>134</v>
      </c>
      <c r="B42" s="8" t="s">
        <v>135</v>
      </c>
      <c r="C42" s="8" t="s">
        <v>136</v>
      </c>
      <c r="D42" s="9">
        <v>900</v>
      </c>
      <c r="E42" s="9">
        <v>1800</v>
      </c>
      <c r="F42" s="8" t="s">
        <v>137</v>
      </c>
      <c r="G42" s="9">
        <v>1</v>
      </c>
      <c r="H42" s="9">
        <v>3</v>
      </c>
      <c r="I42" s="9">
        <f>=G42*H42</f>
      </c>
      <c r="J42" s="9">
        <f>=D42*I42</f>
      </c>
      <c r="K42" s="9">
        <f>=E42*I42</f>
      </c>
      <c r="L42" s="9">
        <v>14</v>
      </c>
      <c r="M42" s="9">
        <f>=J42*L42</f>
      </c>
      <c r="N42" s="9">
        <f>=K42*L42</f>
      </c>
    </row>
    <row r="43" ht="15.00" customHeight="true">
      <c r="A43" s="8" t="s">
        <v>138</v>
      </c>
      <c r="B43" s="8" t="s">
        <v>139</v>
      </c>
      <c r="C43" s="8" t="s">
        <v>140</v>
      </c>
      <c r="D43" s="9">
        <v>200</v>
      </c>
      <c r="E43" s="9">
        <v>500</v>
      </c>
      <c r="F43" s="8" t="s">
        <v>141</v>
      </c>
      <c r="G43" s="9">
        <v>5</v>
      </c>
      <c r="H43" s="9">
        <v>1</v>
      </c>
      <c r="I43" s="9">
        <f>=G43*H43</f>
      </c>
      <c r="J43" s="9">
        <f>=D43*I43</f>
      </c>
      <c r="K43" s="9">
        <f>=E43*I43</f>
      </c>
      <c r="L43" s="9">
        <v>14</v>
      </c>
      <c r="M43" s="9">
        <f>=J43*L43</f>
      </c>
      <c r="N43" s="9">
        <f>=K43*L43</f>
      </c>
    </row>
    <row r="44" ht="15.00" customHeight="true">
      <c r="A44" s="8" t="s">
        <v>142</v>
      </c>
      <c r="B44" s="8" t="s">
        <v>143</v>
      </c>
      <c r="C44" s="8" t="s">
        <v>144</v>
      </c>
      <c r="D44" s="9">
        <v>400</v>
      </c>
      <c r="E44" s="9">
        <v>800</v>
      </c>
      <c r="F44" s="8" t="s">
        <v>145</v>
      </c>
      <c r="G44" s="9">
        <v>1</v>
      </c>
      <c r="H44" s="9">
        <v>1</v>
      </c>
      <c r="I44" s="9">
        <f>=G44*H44</f>
      </c>
      <c r="J44" s="9">
        <f>=D44*I44</f>
      </c>
      <c r="K44" s="9">
        <f>=E44*I44</f>
      </c>
      <c r="L44" s="9">
        <v>14</v>
      </c>
      <c r="M44" s="9">
        <f>=J44*L44</f>
      </c>
      <c r="N44" s="9">
        <f>=K44*L44</f>
      </c>
    </row>
    <row r="45" ht="15.00" customHeight="true">
      <c r="A45" s="8" t="s">
        <v>146</v>
      </c>
      <c r="B45" s="8" t="s">
        <v>143</v>
      </c>
      <c r="C45" s="8" t="s">
        <v>102</v>
      </c>
      <c r="D45" s="9">
        <v>350</v>
      </c>
      <c r="E45" s="9">
        <v>700</v>
      </c>
      <c r="F45" s="8" t="s">
        <v>147</v>
      </c>
      <c r="G45" s="9">
        <v>1</v>
      </c>
      <c r="H45" s="9">
        <v>1</v>
      </c>
      <c r="I45" s="9">
        <f>=G45*H45</f>
      </c>
      <c r="J45" s="9">
        <f>=D45*I45</f>
      </c>
      <c r="K45" s="9">
        <f>=E45*I45</f>
      </c>
      <c r="L45" s="9">
        <v>14</v>
      </c>
      <c r="M45" s="9">
        <f>=J45*L45</f>
      </c>
      <c r="N45" s="9">
        <f>=K45*L45</f>
      </c>
    </row>
    <row r="46" ht="15.00" customHeight="true">
      <c r="A46" s="8" t="s">
        <v>148</v>
      </c>
      <c r="B46" s="8" t="s">
        <v>143</v>
      </c>
      <c r="C46" s="8" t="s">
        <v>144</v>
      </c>
      <c r="D46" s="9">
        <v>300</v>
      </c>
      <c r="E46" s="9">
        <v>650</v>
      </c>
      <c r="F46" s="8" t="s">
        <v>149</v>
      </c>
      <c r="G46" s="9">
        <v>1</v>
      </c>
      <c r="H46" s="9">
        <v>1</v>
      </c>
      <c r="I46" s="9">
        <f>=G46*H46</f>
      </c>
      <c r="J46" s="9">
        <f>=D46*I46</f>
      </c>
      <c r="K46" s="9">
        <f>=E46*I46</f>
      </c>
      <c r="L46" s="9">
        <v>14</v>
      </c>
      <c r="M46" s="9">
        <f>=J46*L46</f>
      </c>
      <c r="N46" s="9">
        <f>=K46*L46</f>
      </c>
    </row>
    <row r="47" ht="15.00" customHeight="true">
      <c r="A47" s="8" t="s">
        <v>150</v>
      </c>
      <c r="B47" s="8" t="s">
        <v>151</v>
      </c>
      <c r="C47" s="8" t="s">
        <v>33</v>
      </c>
      <c r="D47" s="9">
        <v>100</v>
      </c>
      <c r="E47" s="9">
        <v>220</v>
      </c>
      <c r="F47" s="8" t="s">
        <v>152</v>
      </c>
      <c r="G47" s="9">
        <v>1</v>
      </c>
      <c r="H47" s="9">
        <v>2</v>
      </c>
      <c r="I47" s="9">
        <f>=G47*H47</f>
      </c>
      <c r="J47" s="9">
        <f>=D47*I47</f>
      </c>
      <c r="K47" s="9">
        <f>=E47*I47</f>
      </c>
      <c r="L47" s="9">
        <v>14</v>
      </c>
      <c r="M47" s="9">
        <f>=J47*L47</f>
      </c>
      <c r="N47" s="9">
        <f>=K47*L47</f>
      </c>
    </row>
    <row r="48" ht="15.00" customHeight="true">
      <c r="A48" s="8" t="s">
        <v>153</v>
      </c>
      <c r="B48" s="8" t="s">
        <v>151</v>
      </c>
      <c r="C48" s="8" t="s">
        <v>154</v>
      </c>
      <c r="D48" s="9">
        <v>15</v>
      </c>
      <c r="E48" s="9">
        <v>35</v>
      </c>
      <c r="F48" s="8" t="s">
        <v>155</v>
      </c>
      <c r="G48" s="9">
        <v>3</v>
      </c>
      <c r="H48" s="9">
        <v>3</v>
      </c>
      <c r="I48" s="9">
        <f>=G48*H48</f>
      </c>
      <c r="J48" s="9">
        <f>=D48*I48</f>
      </c>
      <c r="K48" s="9">
        <f>=E48*I48</f>
      </c>
      <c r="L48" s="9">
        <v>14</v>
      </c>
      <c r="M48" s="9">
        <f>=J48*L48</f>
      </c>
      <c r="N48" s="9">
        <f>=K48*L48</f>
      </c>
    </row>
  </sheetData>
  <mergeCells count="4">
    <mergeCell ref="A1:N1"/>
    <mergeCell ref="A4:N4"/>
    <mergeCell ref="A20:N20"/>
    <mergeCell ref="A32:N32"/>
  </mergeCells>
  <phoneticPr fontId="0" type="noConversion"/>
  <pageMargins left="0.75" right="0.75" top="0.75" bottom="0.75" header="0.25" footer="0.25"/>
  <pageSetup orientation="portrait" paperSize="9" scale="100"/>
  <headerFooter alignWithMargin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8.71"/>
  <cols>
    <col min="1" max="1" width="32.01" customWidth="1" hidden="0"/>
    <col min="2" max="2" width="14.96" customWidth="1" hidden="0"/>
    <col min="3" max="3" width="2.94" customWidth="1" hidden="0"/>
    <col min="4" max="4" width="32.01" customWidth="1" hidden="0"/>
    <col min="5" max="5" width="18.03" customWidth="1" hidden="0"/>
  </cols>
  <sheetData>
    <row r="1" ht="30.00" customHeight="true">
      <c r="A1" s="1" t="s">
        <v>156</v>
      </c>
      <c r="B1" s="1"/>
      <c r="C1" s="1"/>
      <c r="D1" s="1"/>
      <c r="E1" s="1"/>
    </row>
    <row r="3" ht="15.00" customHeight="true">
      <c r="A3" s="2" t="s">
        <v>157</v>
      </c>
      <c r="B3" s="2" t="s">
        <v>158</v>
      </c>
      <c r="C3" s="2"/>
      <c r="D3" s="2" t="s">
        <v>159</v>
      </c>
      <c r="E3" s="2" t="s">
        <v>160</v>
      </c>
    </row>
    <row r="4" ht="15.00" customHeight="true">
      <c r="A4" s="10" t="s">
        <v>161</v>
      </c>
      <c r="B4" s="11">
        <v>35</v>
      </c>
      <c r="D4" s="10" t="s">
        <v>9</v>
      </c>
      <c r="E4" s="12">
        <f>=B5*B6</f>
      </c>
    </row>
    <row r="5" ht="15.00" customHeight="true">
      <c r="A5" s="10" t="s">
        <v>162</v>
      </c>
      <c r="B5" s="11">
        <v>1</v>
      </c>
      <c r="D5" s="10" t="s">
        <v>163</v>
      </c>
      <c r="E5" s="12">
        <f>=B4*E4</f>
      </c>
    </row>
    <row r="6" ht="15.00" customHeight="true">
      <c r="A6" s="10" t="s">
        <v>164</v>
      </c>
      <c r="B6" s="11">
        <v>3</v>
      </c>
      <c r="D6" s="10" t="s">
        <v>165</v>
      </c>
      <c r="E6" s="12">
        <f>=E5*B7</f>
      </c>
    </row>
    <row r="7" ht="15.00" customHeight="true">
      <c r="A7" s="10" t="s">
        <v>166</v>
      </c>
      <c r="B7" s="11">
        <v>7</v>
      </c>
      <c r="D7" s="10" t="s">
        <v>167</v>
      </c>
      <c r="E7" s="12">
        <f>=E6*B8</f>
      </c>
    </row>
    <row r="8" ht="15.00" customHeight="true">
      <c r="A8" s="10" t="s">
        <v>168</v>
      </c>
      <c r="B8" s="11">
        <v>10</v>
      </c>
      <c r="D8" s="10" t="s">
        <v>169</v>
      </c>
      <c r="E8" s="12">
        <f>=E7*12</f>
      </c>
    </row>
    <row r="11" ht="15.00" customHeight="true">
      <c r="A11" s="13" t="s">
        <v>170</v>
      </c>
    </row>
    <row r="12" ht="15.00" customHeight="true">
      <c r="A12" s="14" t="s">
        <v>171</v>
      </c>
    </row>
    <row r="13" ht="15.00" customHeight="true">
      <c r="A13" s="14" t="s">
        <v>172</v>
      </c>
    </row>
    <row r="14" ht="15.00" customHeight="true">
      <c r="A14" s="14" t="s">
        <v>173</v>
      </c>
    </row>
    <row r="15" ht="15.00" customHeight="true">
      <c r="A15" s="14" t="s">
        <v>174</v>
      </c>
    </row>
  </sheetData>
  <mergeCells count="1">
    <mergeCell ref="A1:E1"/>
  </mergeCells>
  <phoneticPr fontId="0" type="noConversion"/>
  <pageMargins left="0.75" right="0.75" top="0.75" bottom="0.75" header="0.25" footer="0.25"/>
  <pageSetup orientation="portrait" paperSize="9" scale="100"/>
  <headerFooter alignWithMargin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pane ySplit="3" topLeftCell="A4" activePane="bottomRight" state="frozen"/>
      <selection activeCell="A1" sqref="A1"/>
    </sheetView>
  </sheetViews>
  <sheetFormatPr defaultRowHeight="15.00" customHeight="1" defaultColWidth="8.71"/>
  <cols>
    <col min="1" max="1" width="32.01" customWidth="1" hidden="0"/>
    <col min="2" max="2" width="36.06" customWidth="1" hidden="0"/>
    <col min="3" max="4" width="18.03" customWidth="1" hidden="0"/>
    <col min="5" max="5" width="7.97" customWidth="1" hidden="0"/>
    <col min="6" max="6" width="36.06" customWidth="1" hidden="0"/>
  </cols>
  <sheetData>
    <row r="1" ht="30.00" customHeight="true">
      <c r="A1" s="1" t="s">
        <v>175</v>
      </c>
      <c r="B1" s="1"/>
      <c r="C1" s="1"/>
      <c r="D1" s="1"/>
      <c r="E1" s="1"/>
      <c r="F1" s="1"/>
    </row>
    <row r="3" ht="27.00" customHeight="true">
      <c r="A3" s="2" t="s">
        <v>176</v>
      </c>
      <c r="B3" s="2" t="s">
        <v>177</v>
      </c>
      <c r="C3" s="2" t="s">
        <v>178</v>
      </c>
      <c r="D3" s="2" t="s">
        <v>179</v>
      </c>
      <c r="E3" s="2" t="s">
        <v>180</v>
      </c>
      <c r="F3" s="2" t="s">
        <v>181</v>
      </c>
    </row>
    <row r="4" ht="15.00" customHeight="true">
      <c r="A4" s="4" t="s">
        <v>182</v>
      </c>
      <c r="B4" s="4" t="s">
        <v>183</v>
      </c>
      <c r="C4" s="15">
        <v>168</v>
      </c>
      <c r="D4" s="15">
        <v>336</v>
      </c>
      <c r="E4" s="5">
        <v>1</v>
      </c>
      <c r="F4" s="4" t="s">
        <v>184</v>
      </c>
    </row>
    <row r="5" ht="15.00" customHeight="true">
      <c r="A5" s="4" t="s">
        <v>185</v>
      </c>
      <c r="B5" s="4" t="s">
        <v>186</v>
      </c>
      <c r="C5" s="15">
        <v>218</v>
      </c>
      <c r="D5" s="15">
        <v>511</v>
      </c>
      <c r="E5" s="5">
        <v>1</v>
      </c>
      <c r="F5" s="4" t="s">
        <v>187</v>
      </c>
    </row>
    <row r="6" ht="15.00" customHeight="true">
      <c r="A6" s="4" t="s">
        <v>188</v>
      </c>
      <c r="B6" s="4" t="s">
        <v>189</v>
      </c>
      <c r="C6" s="15">
        <v>252</v>
      </c>
      <c r="D6" s="15">
        <v>616</v>
      </c>
      <c r="E6" s="5">
        <v>1</v>
      </c>
      <c r="F6" s="4" t="s">
        <v>190</v>
      </c>
    </row>
    <row r="7" ht="15.00" customHeight="true">
      <c r="A7" s="6" t="s">
        <v>191</v>
      </c>
      <c r="B7" s="6" t="s">
        <v>192</v>
      </c>
      <c r="C7" s="16">
        <v>1680</v>
      </c>
      <c r="D7" s="16">
        <v>4480</v>
      </c>
      <c r="E7" s="7">
        <v>2</v>
      </c>
      <c r="F7" s="6" t="s">
        <v>193</v>
      </c>
    </row>
    <row r="8" ht="15.00" customHeight="true">
      <c r="A8" s="6" t="s">
        <v>194</v>
      </c>
      <c r="B8" s="6" t="s">
        <v>195</v>
      </c>
      <c r="C8" s="16">
        <v>1008</v>
      </c>
      <c r="D8" s="16">
        <v>4060</v>
      </c>
      <c r="E8" s="7">
        <v>2</v>
      </c>
      <c r="F8" s="6" t="s">
        <v>196</v>
      </c>
    </row>
    <row r="9" ht="15.00" customHeight="true">
      <c r="A9" s="6" t="s">
        <v>197</v>
      </c>
      <c r="B9" s="6" t="s">
        <v>198</v>
      </c>
      <c r="C9" s="16">
        <v>1869</v>
      </c>
      <c r="D9" s="16">
        <v>4928</v>
      </c>
      <c r="E9" s="7">
        <v>2</v>
      </c>
      <c r="F9" s="6" t="s">
        <v>199</v>
      </c>
    </row>
    <row r="10" ht="15.00" customHeight="true">
      <c r="A10" s="6" t="s">
        <v>200</v>
      </c>
      <c r="B10" s="6" t="s">
        <v>201</v>
      </c>
      <c r="C10" s="16">
        <v>1120</v>
      </c>
      <c r="D10" s="16">
        <v>2100</v>
      </c>
      <c r="E10" s="7">
        <v>2</v>
      </c>
      <c r="F10" s="6" t="s">
        <v>202</v>
      </c>
    </row>
    <row r="11" ht="15.00" customHeight="true">
      <c r="A11" s="4" t="s">
        <v>203</v>
      </c>
      <c r="B11" s="4" t="s">
        <v>204</v>
      </c>
      <c r="C11" s="15">
        <v>672</v>
      </c>
      <c r="D11" s="15">
        <v>1400</v>
      </c>
      <c r="E11" s="5">
        <v>1</v>
      </c>
      <c r="F11" s="4" t="s">
        <v>205</v>
      </c>
    </row>
    <row r="12" ht="15.00" customHeight="true">
      <c r="A12" s="8" t="s">
        <v>206</v>
      </c>
      <c r="B12" s="8" t="s">
        <v>207</v>
      </c>
      <c r="C12" s="17">
        <v>4200</v>
      </c>
      <c r="D12" s="17">
        <v>11200</v>
      </c>
      <c r="E12" s="9">
        <v>3</v>
      </c>
      <c r="F12" s="8" t="s">
        <v>208</v>
      </c>
    </row>
    <row r="13" ht="15.00" customHeight="true">
      <c r="A13" s="8" t="s">
        <v>209</v>
      </c>
      <c r="B13" s="8" t="s">
        <v>210</v>
      </c>
      <c r="C13" s="17">
        <v>14000</v>
      </c>
      <c r="D13" s="17">
        <v>25200</v>
      </c>
      <c r="E13" s="9">
        <v>3</v>
      </c>
      <c r="F13" s="8" t="s">
        <v>211</v>
      </c>
    </row>
    <row r="14" ht="15.00" customHeight="true">
      <c r="A14" s="8" t="s">
        <v>212</v>
      </c>
      <c r="B14" s="8" t="s">
        <v>213</v>
      </c>
      <c r="C14" s="17">
        <v>33600</v>
      </c>
      <c r="D14" s="17">
        <v>63000</v>
      </c>
      <c r="E14" s="9">
        <v>3</v>
      </c>
      <c r="F14" s="8" t="s">
        <v>214</v>
      </c>
    </row>
    <row r="15" ht="15.00" customHeight="true">
      <c r="A15" s="8" t="s">
        <v>215</v>
      </c>
      <c r="B15" s="8" t="s">
        <v>216</v>
      </c>
      <c r="C15" s="17">
        <v>33796</v>
      </c>
      <c r="D15" s="17">
        <v>64890</v>
      </c>
      <c r="E15" s="9">
        <v>3</v>
      </c>
      <c r="F15" s="8" t="s">
        <v>217</v>
      </c>
    </row>
    <row r="16" ht="15.00" customHeight="true">
      <c r="A16" s="8" t="s">
        <v>218</v>
      </c>
      <c r="B16" s="8" t="s">
        <v>219</v>
      </c>
      <c r="C16" s="17">
        <v>4480</v>
      </c>
      <c r="D16" s="17">
        <v>11200</v>
      </c>
      <c r="E16" s="9">
        <v>3</v>
      </c>
      <c r="F16" s="8" t="s">
        <v>220</v>
      </c>
    </row>
    <row r="17" ht="15.00" customHeight="true">
      <c r="A17" s="8" t="s">
        <v>221</v>
      </c>
      <c r="B17" s="8" t="s">
        <v>222</v>
      </c>
      <c r="C17" s="17">
        <v>25200</v>
      </c>
      <c r="D17" s="17">
        <v>105000</v>
      </c>
      <c r="E17" s="9">
        <v>3</v>
      </c>
      <c r="F17" s="8" t="s">
        <v>223</v>
      </c>
    </row>
    <row r="18" ht="15.00" customHeight="true">
      <c r="A18" s="8" t="s">
        <v>224</v>
      </c>
      <c r="B18" s="8" t="s">
        <v>225</v>
      </c>
      <c r="C18" s="17">
        <v>5600</v>
      </c>
      <c r="D18" s="17">
        <v>11200</v>
      </c>
      <c r="E18" s="9">
        <v>3</v>
      </c>
      <c r="F18" s="8" t="s">
        <v>226</v>
      </c>
    </row>
    <row r="19" ht="15.00" customHeight="true">
      <c r="A19" s="8" t="s">
        <v>227</v>
      </c>
      <c r="B19" s="8" t="s">
        <v>228</v>
      </c>
      <c r="C19" s="17">
        <v>4480</v>
      </c>
      <c r="D19" s="17">
        <v>10080</v>
      </c>
      <c r="E19" s="9">
        <v>3</v>
      </c>
      <c r="F19" s="8" t="s">
        <v>229</v>
      </c>
    </row>
    <row r="20" ht="15.00" customHeight="true">
      <c r="A20" s="8" t="s">
        <v>230</v>
      </c>
      <c r="B20" s="8" t="s">
        <v>231</v>
      </c>
      <c r="C20" s="17">
        <v>14000</v>
      </c>
      <c r="D20" s="17">
        <v>35000</v>
      </c>
      <c r="E20" s="9">
        <v>3</v>
      </c>
      <c r="F20" s="8" t="s">
        <v>232</v>
      </c>
    </row>
  </sheetData>
  <mergeCells count="1">
    <mergeCell ref="A1:F1"/>
  </mergeCells>
  <phoneticPr fontId="0" type="noConversion"/>
  <pageMargins left="0.75" right="0.75" top="0.75" bottom="0.75" header="0.25" footer="0.25"/>
  <pageSetup orientation="portrait" paperSize="9" scale="100"/>
  <headerFooter alignWithMargin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8.71"/>
  <cols>
    <col min="1" max="1" width="30.05" customWidth="1" hidden="0"/>
    <col min="2" max="2" width="90.03" customWidth="1" hidden="0"/>
  </cols>
  <sheetData>
    <row r="1" ht="30.00" customHeight="true">
      <c r="A1" s="1" t="s">
        <v>233</v>
      </c>
      <c r="B1" s="1"/>
    </row>
    <row r="3" ht="30.00" customHeight="true">
      <c r="A3" s="18" t="s">
        <v>234</v>
      </c>
      <c r="B3" s="19" t="s">
        <v>235</v>
      </c>
    </row>
    <row r="4" ht="30.00" customHeight="true">
      <c r="A4" s="18" t="s">
        <v>236</v>
      </c>
      <c r="B4" s="19" t="s">
        <v>237</v>
      </c>
    </row>
    <row r="5" ht="30.00" customHeight="true">
      <c r="A5" s="18" t="s">
        <v>238</v>
      </c>
      <c r="B5" s="19" t="s">
        <v>239</v>
      </c>
    </row>
    <row r="6" ht="30.00" customHeight="true">
      <c r="A6" s="18" t="s">
        <v>240</v>
      </c>
      <c r="B6" s="19" t="s">
        <v>241</v>
      </c>
    </row>
    <row r="7" ht="30.00" customHeight="true">
      <c r="A7" s="18" t="s">
        <v>242</v>
      </c>
      <c r="B7" s="19" t="s">
        <v>243</v>
      </c>
    </row>
    <row r="8" ht="30.00" customHeight="true">
      <c r="A8" s="18" t="s">
        <v>244</v>
      </c>
      <c r="B8" s="19" t="s">
        <v>245</v>
      </c>
    </row>
    <row r="9" ht="30.00" customHeight="true">
      <c r="A9" s="18" t="s">
        <v>246</v>
      </c>
      <c r="B9" s="19" t="s">
        <v>247</v>
      </c>
    </row>
    <row r="10" ht="30.00" customHeight="true">
      <c r="A10" s="18" t="s">
        <v>248</v>
      </c>
      <c r="B10" s="19" t="s">
        <v>249</v>
      </c>
    </row>
    <row r="11" ht="30.00" customHeight="true">
      <c r="A11" s="18" t="s">
        <v>250</v>
      </c>
      <c r="B11" s="19" t="s">
        <v>251</v>
      </c>
    </row>
    <row r="12" ht="30.00" customHeight="true">
      <c r="A12" s="18" t="s">
        <v>252</v>
      </c>
      <c r="B12" s="19" t="s">
        <v>253</v>
      </c>
    </row>
    <row r="13" ht="30.00" customHeight="true">
      <c r="A13" s="18" t="s">
        <v>254</v>
      </c>
      <c r="B13" s="19" t="s">
        <v>255</v>
      </c>
    </row>
  </sheetData>
  <mergeCells count="1">
    <mergeCell ref="A1:B1"/>
  </mergeCells>
  <phoneticPr fontId="0" type="noConversion"/>
  <pageMargins left="0.75" right="0.75" top="0.75" bottom="0.75" header="0.25" footer="0.25"/>
  <pageSetup orientation="portrait" paperSize="9" scale="100"/>
  <headerFooter alignWithMargin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4</vt:i4>
      </vt:variant>
    </vt:vector>
  </HeadingPairs>
  <TitlesOfParts>
    <vt:vector size="4" baseType="lpstr">
      <vt:lpstr>Custos ATB UTI</vt:lpstr>
      <vt:lpstr>Calculadora</vt:lpstr>
      <vt:lpstr>Comparativo Foco</vt:lpstr>
      <vt:lpstr>Notas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2026-04-28T18:38:28Z</dcterms:created>
  <dcterms:modified xsi:type="dcterms:W3CDTF">2026-04-28T18:38:28Z</dcterms:modified>
</cp:coreProperties>
</file>