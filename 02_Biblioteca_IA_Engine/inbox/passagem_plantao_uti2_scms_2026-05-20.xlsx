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59ede1378d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9cb41c8584b04049"/>
    <x:sheet xmlns:r="http://schemas.openxmlformats.org/officeDocument/2006/relationships" name="Passagem" sheetId="2" r:id="R10caec0e32634697"/>
    <x:sheet xmlns:r="http://schemas.openxmlformats.org/officeDocument/2006/relationships" name="Pendencias" sheetId="3" r:id="R3eef7026effb42dd"/>
    <x:sheet xmlns:r="http://schemas.openxmlformats.org/officeDocument/2006/relationships" name="ATB_Culturas" sheetId="4" r:id="R3da0a4c12bf34758"/>
    <x:sheet xmlns:r="http://schemas.openxmlformats.org/officeDocument/2006/relationships" name="Dispositivos" sheetId="5" r:id="Red447bdfef004936"/>
    <x:sheet xmlns:r="http://schemas.openxmlformats.org/officeDocument/2006/relationships" name="Fonte" sheetId="6" r:id="R246d24693bbc47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i/>
      <x:sz val="11"/>
      <x:color rgb="111827"/>
      <x:name val="Carlito"/>
    </x:font>
    <x:font>
      <x:b/>
      <x:sz val="14"/>
      <x:color rgb="1E3A8A"/>
      <x:name val="Carlito"/>
    </x:font>
    <x:font>
      <x:b/>
      <x:sz val="11"/>
      <x:color rgb="78350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E3A8A"/>
      </x:patternFill>
    </x:fill>
    <x:fill>
      <x:patternFill patternType="solid">
        <x:fgColor rgb="DBEAFE"/>
      </x:patternFill>
    </x:fill>
    <x:fill>
      <x:patternFill patternType="solid">
        <x:fgColor rgb="EFF6FF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1">
    <x:dxf>
      <x:font>
        <x:b/>
        <x:color rgb="7F1D1D"/>
      </x:font>
      <x:fill>
        <x:patternFill patternType="solid">
          <x:bgColor rgb="FECACA"/>
        </x:patternFill>
      </x:fill>
    </x:dxf>
    <x:dxf>
      <x:font>
        <x:b/>
        <x:color rgb="7C2D12"/>
      </x:font>
      <x:fill>
        <x:patternFill patternType="solid">
          <x:bgColor rgb="FFEDD5"/>
        </x:patternFill>
      </x:fill>
    </x:dxf>
    <x:dxf>
      <x:font>
        <x:b/>
        <x:color rgb="78350F"/>
      </x:font>
      <x:fill>
        <x:patternFill patternType="solid">
          <x:bgColor rgb="FEF3C7"/>
        </x:patternFill>
      </x:fill>
    </x:dxf>
    <x:dxf>
      <x:font>
        <x:b/>
        <x:color rgb="4C1D95"/>
      </x:font>
      <x:fill>
        <x:patternFill patternType="solid">
          <x:bgColor rgb="EDE9FE"/>
        </x:patternFill>
      </x:fill>
    </x:dxf>
    <x:dxf>
      <x:font>
        <x:b/>
        <x:color rgb="7F1D1D"/>
      </x:font>
      <x:fill>
        <x:patternFill patternType="solid">
          <x:bgColor rgb="FECACA"/>
        </x:patternFill>
      </x:fill>
    </x:dxf>
    <x:dxf>
      <x:font>
        <x:b/>
        <x:color rgb="78350F"/>
      </x:font>
      <x:fill>
        <x:patternFill patternType="solid">
          <x:bgColor rgb="FEF3C7"/>
        </x:patternFill>
      </x:fill>
    </x:dxf>
    <x:dxf>
      <x:font>
        <x:b/>
        <x:color rgb="14532D"/>
      </x:font>
      <x:fill>
        <x:patternFill patternType="solid">
          <x:bgColor rgb="DCFCE7"/>
        </x:patternFill>
      </x:fill>
    </x:dxf>
    <x:dxf>
      <x:font>
        <x:b/>
        <x:color rgb="7F1D1D"/>
      </x:font>
      <x:fill>
        <x:patternFill patternType="solid">
          <x:bgColor rgb="FECACA"/>
        </x:patternFill>
      </x:fill>
    </x:dxf>
    <x:dxf>
      <x:font>
        <x:b/>
        <x:color rgb="7C2D12"/>
      </x:font>
      <x:fill>
        <x:patternFill patternType="solid">
          <x:bgColor rgb="FFEDD5"/>
        </x:patternFill>
      </x:fill>
    </x:dxf>
    <x:dxf>
      <x:font>
        <x:b/>
        <x:color rgb="78350F"/>
      </x:font>
      <x:fill>
        <x:patternFill patternType="solid">
          <x:bgColor rgb="FEF3C7"/>
        </x:patternFill>
      </x:fill>
    </x:dxf>
    <x:dxf>
      <x:font>
        <x:b/>
        <x:color rgb="4C1D95"/>
      </x:font>
      <x:fill>
        <x:patternFill patternType="solid">
          <x:bgColor rgb="EDE9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4c0b7042f44c92" /><Relationship Type="http://schemas.openxmlformats.org/officeDocument/2006/relationships/theme" Target="/xl/theme/theme1.xml" Id="R5e05e49f95d14e75" /><Relationship Type="http://schemas.openxmlformats.org/officeDocument/2006/relationships/sharedStrings" Target="/xl/sharedStrings.xml" Id="Reca9f40510bb4b66" /><Relationship Type="http://schemas.openxmlformats.org/officeDocument/2006/relationships/worksheet" Target="/xl/worksheets/sheet1.xml" Id="R9cb41c8584b04049" /><Relationship Type="http://schemas.openxmlformats.org/officeDocument/2006/relationships/worksheet" Target="/xl/worksheets/sheet2.xml" Id="R10caec0e32634697" /><Relationship Type="http://schemas.openxmlformats.org/officeDocument/2006/relationships/worksheet" Target="/xl/worksheets/sheet3.xml" Id="R3eef7026effb42dd" /><Relationship Type="http://schemas.openxmlformats.org/officeDocument/2006/relationships/worksheet" Target="/xl/worksheets/sheet4.xml" Id="R3da0a4c12bf34758" /><Relationship Type="http://schemas.openxmlformats.org/officeDocument/2006/relationships/worksheet" Target="/xl/worksheets/sheet5.xml" Id="Red447bdfef004936" /><Relationship Type="http://schemas.openxmlformats.org/officeDocument/2006/relationships/worksheet" Target="/xl/worksheets/sheet6.xml" Id="R246d24693bbc4781" /></Relationships>
</file>

<file path=xl/tables/table1.xml><?xml version="1.0" encoding="utf-8"?>
<x:table xmlns:x="http://schemas.openxmlformats.org/spreadsheetml/2006/main" id="5" name="PainelResumoTable" displayName="PainelResumoTable" ref="A15:E25" headerRowCount="1">
  <x:tableColumns count="5">
    <x:tableColumn id="1" name="Leito"/>
    <x:tableColumn id="2" name="Paciente"/>
    <x:tableColumn id="3" name="Status"/>
    <x:tableColumn id="4" name="Prioridade"/>
    <x:tableColumn id="5" name="Pendência-chave"/>
  </x:tableColumns>
  <x:tableStyleInfo name="TableStyleMedium2" showRowStripes="1"/>
</x:table>
</file>

<file path=xl/tables/table2.xml><?xml version="1.0" encoding="utf-8"?>
<x:table xmlns:x="http://schemas.openxmlformats.org/spreadsheetml/2006/main" id="1" name="PassagemTable" displayName="PassagemTable" ref="A1:V11" headerRowCount="1">
  <x:tableColumns count="22">
    <x:tableColumn id="1" name="Leito"/>
    <x:tableColumn id="2" name="Paciente"/>
    <x:tableColumn id="3" name="Idade"/>
    <x:tableColumn id="4" name="Diagnóstico / motivo da UTI"/>
    <x:tableColumn id="5" name="Contexto / procedimentos"/>
    <x:tableColumn id="6" name="Neuro / sedação"/>
    <x:tableColumn id="7" name="Respiração / VM-O2"/>
    <x:tableColumn id="8" name="Hemodinâmica"/>
    <x:tableColumn id="9" name="Renal / BH / diálise"/>
    <x:tableColumn id="10" name="Infecção / ATB / culturas"/>
    <x:tableColumn id="11" name="Dispositivos / metabólico / nutrição"/>
    <x:tableColumn id="12" name="Pendências críticas"/>
    <x:tableColumn id="13" name="Plano de plantão"/>
    <x:tableColumn id="14" name="Prioridade"/>
    <x:tableColumn id="15" name="Status"/>
    <x:tableColumn id="16" name="VM/IOT"/>
    <x:tableColumn id="17" name="DVA"/>
    <x:tableColumn id="18" name="HD/DRC"/>
    <x:tableColumn id="19" name="Sangramento/anticoag."/>
    <x:tableColumn id="20" name="Paliativo"/>
    <x:tableColumn id="21" name="TQT"/>
    <x:tableColumn id="22" name="Fonte/obs."/>
  </x:tableColumns>
  <x:tableStyleInfo name="TableStyleMedium2" showRowStripes="1"/>
</x:table>
</file>

<file path=xl/tables/table3.xml><?xml version="1.0" encoding="utf-8"?>
<x:table xmlns:x="http://schemas.openxmlformats.org/spreadsheetml/2006/main" id="2" name="PendenciasTable" displayName="PendenciasTable" ref="A1:H49" headerRowCount="1">
  <x:tableColumns count="8">
    <x:tableColumn id="1" name="Leito"/>
    <x:tableColumn id="2" name="Paciente"/>
    <x:tableColumn id="3" name="Categoria"/>
    <x:tableColumn id="4" name="Pendência / ação"/>
    <x:tableColumn id="5" name="Prioridade"/>
    <x:tableColumn id="6" name="Status"/>
    <x:tableColumn id="7" name="Responsável"/>
    <x:tableColumn id="8" name="Observações"/>
  </x:tableColumns>
  <x:tableStyleInfo name="TableStyleMedium2" showRowStripes="1"/>
</x:table>
</file>

<file path=xl/tables/table4.xml><?xml version="1.0" encoding="utf-8"?>
<x:table xmlns:x="http://schemas.openxmlformats.org/spreadsheetml/2006/main" id="3" name="ATBCulturasTable" displayName="ATBCulturasTable" ref="A1:G11" headerRowCount="1">
  <x:tableColumns count="7">
    <x:tableColumn id="1" name="Leito"/>
    <x:tableColumn id="2" name="Paciente"/>
    <x:tableColumn id="3" name="Foco provável / problema infeccioso"/>
    <x:tableColumn id="4" name="ATB / antimicrobianos atuais"/>
    <x:tableColumn id="5" name="Início informado"/>
    <x:tableColumn id="6" name="Culturas / exames"/>
    <x:tableColumn id="7" name="Ponto de atenção"/>
  </x:tableColumns>
  <x:tableStyleInfo name="TableStyleMedium2" showRowStripes="1"/>
</x:table>
</file>

<file path=xl/tables/table5.xml><?xml version="1.0" encoding="utf-8"?>
<x:table xmlns:x="http://schemas.openxmlformats.org/spreadsheetml/2006/main" id="4" name="DispositivosTable" displayName="DispositivosTable" ref="A1:H11" headerRowCount="1">
  <x:tableColumns count="8">
    <x:tableColumn id="1" name="Leito"/>
    <x:tableColumn id="2" name="Via aérea / O2"/>
    <x:tableColumn id="3" name="Modo / suporte"/>
    <x:tableColumn id="4" name="DVA / sedação / BNM"/>
    <x:tableColumn id="5" name="Acessos / drenos / SVD"/>
    <x:tableColumn id="6" name="Diálise / renal"/>
    <x:tableColumn id="7" name="Nutrição / glicemia"/>
    <x:tableColumn id="8" name="Observações crític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2aa74477c24d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53e95f44d14b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2185f4eb57d40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0c4bb377bd34f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919e5c3b547431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8" hidden="0" customWidth="1"/>
    <x:col min="4" max="4" width="18" hidden="0" customWidth="1"/>
    <x:col min="5" max="5" width="52" hidden="0" customWidth="1"/>
    <x:col min="6" max="6" width="12" hidden="0" customWidth="1"/>
    <x:col min="7" max="7" width="10" hidden="0" customWidth="1"/>
    <x:col min="8" max="8" width="44" hidden="0" customWidth="1"/>
  </x:cols>
  <x:sheetData>
    <x:row r="1" ht="34" customHeight="1">
      <x:c r="A1" s="18" t="str">
        <x:v>PASSAGEM DE PLANTÃO — UTI ADULTO 2 SCMS — 20/05/2026</x:v>
      </x:c>
    </x:row>
    <x:row r="2" ht="24" customHeight="1">
      <x:c r="A2" s="25" t="str">
        <x:v>Cockpit rápido para passagem: olhar primeiro pendências críticas, VM/DVA/HD, sangramento, paliativo e TQT.</x:v>
      </x:c>
    </x:row>
    <x:row r="4" ht="28" customHeight="1">
      <x:c r="A4" s="6" t="str">
        <x:v>Indicador</x:v>
      </x:c>
      <x:c r="B4" s="6" t="str">
        <x:v>Valor</x:v>
      </x:c>
      <x:c r="C4" s="6" t="str">
        <x:v>Interpretação</x:v>
      </x:c>
      <x:c r="D4" s="6" t="str"/>
      <x:c r="F4" s="6" t="str">
        <x:v>Revisar primeiro</x:v>
      </x:c>
      <x:c r="G4" s="6" t="str">
        <x:v>Leito</x:v>
      </x:c>
      <x:c r="H4" s="6" t="str">
        <x:v>Motivo</x:v>
      </x:c>
    </x:row>
    <x:row r="5" ht="40" customHeight="1">
      <x:c r="A5" s="30" t="str">
        <x:v>Total de leitos</x:v>
      </x:c>
      <x:c r="B5" s="34" t="n">
        <x:f>COUNTA(Passagem!A2:A11)</x:f>
        <x:v>10</x:v>
      </x:c>
      <x:c r="C5" s="30" t="str">
        <x:v>Pacientes na passagem</x:v>
      </x:c>
      <x:c r="D5" s="30" t="str"/>
      <x:c r="F5" s="14" t="str">
        <x:v>1º</x:v>
      </x:c>
      <x:c r="G5" s="14" t="str">
        <x:v>08</x:v>
      </x:c>
      <x:c r="H5" s="14" t="str">
        <x:v>Choque séptico + HD pendente + cuidados proporcionais</x:v>
      </x:c>
    </x:row>
    <x:row r="6" ht="40" customHeight="1">
      <x:c r="A6" s="30" t="str">
        <x:v>Em VM/IOT</x:v>
      </x:c>
      <x:c r="B6" s="34" t="n">
        <x:f>SUM(Passagem!P2:P11)</x:f>
        <x:v>8</x:v>
      </x:c>
      <x:c r="C6" s="30" t="str">
        <x:v>Atenção a desmame, sedação, TQT</x:v>
      </x:c>
      <x:c r="D6" s="30" t="str"/>
      <x:c r="F6" s="14" t="str">
        <x:v>2º</x:v>
      </x:c>
      <x:c r="G6" s="14" t="str">
        <x:v>09</x:v>
      </x:c>
      <x:c r="H6" s="14" t="str">
        <x:v>Sepse sem controle de foco + sangramento + acidose/HD</x:v>
      </x:c>
    </x:row>
    <x:row r="7" ht="40" customHeight="1">
      <x:c r="A7" s="30" t="str">
        <x:v>Com DVA</x:v>
      </x:c>
      <x:c r="B7" s="34" t="n">
        <x:f>SUM(Passagem!Q2:Q11)</x:f>
        <x:v>2</x:v>
      </x:c>
      <x:c r="C7" s="30" t="str">
        <x:v>Instabilidade hemodinâmica</x:v>
      </x:c>
      <x:c r="D7" s="30" t="str"/>
      <x:c r="F7" s="14" t="str">
        <x:v>3º</x:v>
      </x:c>
      <x:c r="G7" s="14" t="str">
        <x:v>10</x:v>
      </x:c>
      <x:c r="H7" s="14" t="str">
        <x:v>TCE com piora respiratória/BNM; TC crânio; TQT</x:v>
      </x:c>
    </x:row>
    <x:row r="8" ht="40" customHeight="1">
      <x:c r="A8" s="30" t="str">
        <x:v>HD/DRC ou HD indicada</x:v>
      </x:c>
      <x:c r="B8" s="34" t="n">
        <x:f>SUM(Passagem!R2:R11)</x:f>
        <x:v>5</x:v>
      </x:c>
      <x:c r="C8" s="30" t="str">
        <x:v>Acompanhar volume, eletrólitos, dose renal</x:v>
      </x:c>
      <x:c r="D8" s="30" t="str"/>
      <x:c r="F8" s="14" t="str">
        <x:v>4º</x:v>
      </x:c>
      <x:c r="G8" s="14" t="str">
        <x:v>03</x:v>
      </x:c>
      <x:c r="H8" s="14" t="str">
        <x:v>VM FiO₂ 80% + fístula aérea + noradrenalina</x:v>
      </x:c>
    </x:row>
    <x:row r="9" ht="40" customHeight="1">
      <x:c r="A9" s="30" t="str">
        <x:v>Sangramento/anticoagulação crítica</x:v>
      </x:c>
      <x:c r="B9" s="34" t="n">
        <x:f>SUM(Passagem!S2:S11)</x:f>
        <x:v>5</x:v>
      </x:c>
      <x:c r="C9" s="30" t="str">
        <x:v>Risco hemorrágico/TVP/filtro</x:v>
      </x:c>
      <x:c r="D9" s="30" t="str"/>
      <x:c r="F9" s="14" t="str">
        <x:v>5º</x:v>
      </x:c>
      <x:c r="G9" s="14" t="str">
        <x:v>05</x:v>
      </x:c>
      <x:c r="H9" s="14" t="str">
        <x:v>RNC sem sedação + suspeita rinossinusal/orbitária</x:v>
      </x:c>
    </x:row>
    <x:row r="10" ht="28" customHeight="1">
      <x:c r="A10" s="30" t="str">
        <x:v>Cuidados paliativos</x:v>
      </x:c>
      <x:c r="B10" s="34" t="n">
        <x:f>SUM(Passagem!T2:T11)</x:f>
        <x:v>2</x:v>
      </x:c>
      <x:c r="C10" s="30" t="str">
        <x:v>Exclusivo ou proporcional</x:v>
      </x:c>
      <x:c r="D10" s="30" t="str"/>
    </x:row>
    <x:row r="11" ht="28" customHeight="1">
      <x:c r="A11" s="30" t="str">
        <x:v>TQT indicada/programada</x:v>
      </x:c>
      <x:c r="B11" s="34" t="n">
        <x:f>SUM(Passagem!U2:U11)</x:f>
        <x:v>3</x:v>
      </x:c>
      <x:c r="C11" s="30" t="str">
        <x:v>Via aérea prolongada</x:v>
      </x:c>
      <x:c r="D11" s="30" t="str"/>
    </x:row>
    <x:row r="12" ht="28" customHeight="1">
      <x:c r="A12" s="30" t="str">
        <x:v>Prioridade crítica/muito alta</x:v>
      </x:c>
      <x:c r="B12" s="34" t="n">
        <x:f>COUNTIF(Passagem!N2:N11,"Crítica")+COUNTIF(Passagem!N2:N11,"Muito alta")</x:f>
        <x:v>4</x:v>
      </x:c>
      <x:c r="C12" s="30" t="str">
        <x:v>Leitos para revisar primeiro</x:v>
      </x:c>
      <x:c r="D12" s="30" t="str"/>
    </x:row>
    <x:row r="15">
      <x:c r="A15" s="6" t="str">
        <x:v>Leito</x:v>
      </x:c>
      <x:c r="B15" s="6" t="str">
        <x:v>Paciente</x:v>
      </x:c>
      <x:c r="C15" s="6" t="str">
        <x:v>Status</x:v>
      </x:c>
      <x:c r="D15" s="6" t="str">
        <x:v>Prioridade</x:v>
      </x:c>
      <x:c r="E15" s="6" t="str">
        <x:v>Pendência-chave</x:v>
      </x:c>
    </x:row>
    <x:row r="16" ht="45" customHeight="1">
      <x:c r="A16" s="14" t="str">
        <x:v>01</x:v>
      </x:c>
      <x:c r="B16" s="14" t="str">
        <x:v>Wayne Balbino</x:v>
      </x:c>
      <x:c r="C16" s="14" t="str">
        <x:v>Pós-FAF/PO abdominal-torácico; IRA</x:v>
      </x:c>
      <x:c r="D16" s="14" t="str">
        <x:v>Alta</x:v>
      </x:c>
      <x:c r="E16" s="14" t="str">
        <x:v>RX + sonda/dieta + HD + Hb/drenos</x:v>
      </x:c>
    </x:row>
    <x:row r="17" ht="45" customHeight="1">
      <x:c r="A17" s="14" t="str">
        <x:v>02</x:v>
      </x:c>
      <x:c r="B17" s="14" t="str">
        <x:v>José Gutemberg</x:v>
      </x:c>
      <x:c r="C17" s="14" t="str">
        <x:v>HSA/crise epiléptica + IOT</x:v>
      </x:c>
      <x:c r="D17" s="14" t="str">
        <x:v>Alta</x:v>
      </x:c>
      <x:c r="E17" s="14" t="str">
        <x:v>TC crânio/tórax + EEG + culturas</x:v>
      </x:c>
    </x:row>
    <x:row r="18" ht="45" customHeight="1">
      <x:c r="A18" s="14" t="str">
        <x:v>03</x:v>
      </x:c>
      <x:c r="B18" s="14" t="str">
        <x:v>Francisco Geracino</x:v>
      </x:c>
      <x:c r="C18" s="14" t="str">
        <x:v>Choque séptico + fístula aérea</x:v>
      </x:c>
      <x:c r="D18" s="14" t="str">
        <x:v>Muito alta</x:v>
      </x:c>
      <x:c r="E18" s="14" t="str">
        <x:v>TC quando possível + cirurgia torácica + ATB</x:v>
      </x:c>
    </x:row>
    <x:row r="19" ht="45" customHeight="1">
      <x:c r="A19" s="14" t="str">
        <x:v>04</x:v>
      </x:c>
      <x:c r="B19" s="14" t="str">
        <x:v>Expedito Antonio</x:v>
      </x:c>
      <x:c r="C19" s="14" t="str">
        <x:v>Paliativo exclusivo pós-PCR/DRC</x:v>
      </x:c>
      <x:c r="D19" s="14" t="str">
        <x:v>Paliativo</x:v>
      </x:c>
      <x:c r="E19" s="14" t="str">
        <x:v>Conforto; não RCP/não DVA</x:v>
      </x:c>
    </x:row>
    <x:row r="20" ht="45" customHeight="1">
      <x:c r="A20" s="14" t="str">
        <x:v>05</x:v>
      </x:c>
      <x:c r="B20" s="14" t="str">
        <x:v>Antonia Cunha</x:v>
      </x:c>
      <x:c r="C20" s="14" t="str">
        <x:v>RNC sem sedação + VM</x:v>
      </x:c>
      <x:c r="D20" s="14" t="str">
        <x:v>Alta</x:v>
      </x:c>
      <x:c r="E20" s="14" t="str">
        <x:v>EEG/metabólico/culturas/oftalmo; avaliar mucor/TQT</x:v>
      </x:c>
    </x:row>
    <x:row r="21" ht="45" customHeight="1">
      <x:c r="A21" s="14" t="str">
        <x:v>06</x:v>
      </x:c>
      <x:c r="B21" s="14" t="str">
        <x:v>Antonia Carla</x:v>
      </x:c>
      <x:c r="C21" s="14" t="str">
        <x:v>Pós-VATS + DRC/DM1</x:v>
      </x:c>
      <x:c r="D21" s="14" t="str">
        <x:v>Média/Alta</x:v>
      </x:c>
      <x:c r="E21" s="14" t="str">
        <x:v>Hipoglicemia + RX pneumotórax + cultura pleural</x:v>
      </x:c>
    </x:row>
    <x:row r="22" ht="45" customHeight="1">
      <x:c r="A22" s="14" t="str">
        <x:v>07</x:v>
      </x:c>
      <x:c r="B22" s="14" t="str">
        <x:v>Ricardo Apolinário</x:v>
      </x:c>
      <x:c r="C22" s="14" t="str">
        <x:v>TCE grave pós-craniectomia</x:v>
      </x:c>
      <x:c r="D22" s="14" t="str">
        <x:v>Alta</x:v>
      </x:c>
      <x:c r="E22" s="14" t="str">
        <x:v>TQT 21/05 + vigiar líquor + oftalmo/HIV</x:v>
      </x:c>
    </x:row>
    <x:row r="23" ht="45" customHeight="1">
      <x:c r="A23" s="14" t="str">
        <x:v>08</x:v>
      </x:c>
      <x:c r="B23" s="14" t="str">
        <x:v>José Galdêncio</x:v>
      </x:c>
      <x:c r="C23" s="14" t="str">
        <x:v>Choque séptico refratário</x:v>
      </x:c>
      <x:c r="D23" s="14" t="str">
        <x:v>Crítica</x:v>
      </x:c>
      <x:c r="E23" s="14" t="str">
        <x:v>HD pendente + DVA + sangramento/filtro/EDA</x:v>
      </x:c>
    </x:row>
    <x:row r="24" ht="45" customHeight="1">
      <x:c r="A24" s="14" t="str">
        <x:v>09</x:v>
      </x:c>
      <x:c r="B24" s="14" t="str">
        <x:v>Wilson Gomes</x:v>
      </x:c>
      <x:c r="C24" s="14" t="str">
        <x:v>Sepse coleções + sangramento</x:v>
      </x:c>
      <x:c r="D24" s="14" t="str">
        <x:v>Crítica</x:v>
      </x:c>
      <x:c r="E24" s="14" t="str">
        <x:v>Controle de foco/HRN + hematologia + filtro VCI</x:v>
      </x:c>
    </x:row>
    <x:row r="25" ht="45" customHeight="1">
      <x:c r="A25" s="14" t="str">
        <x:v>10</x:v>
      </x:c>
      <x:c r="B25" s="14" t="str">
        <x:v>Luiz Ferre</x:v>
      </x:c>
      <x:c r="C25" s="14" t="str">
        <x:v>TCE grave + piora respiratória</x:v>
      </x:c>
      <x:c r="D25" s="14" t="str">
        <x:v>Crítica</x:v>
      </x:c>
      <x:c r="E25" s="14" t="str">
        <x:v>TC crânio + convulsão/BNM + TQT + hematuria</x:v>
      </x:c>
    </x:row>
    <x:row r="28" ht="32" customHeight="1">
      <x:c r="A28" s="42" t="str">
        <x:v>⚠️ Revisar à beira-leito antes de condutas. Esta planilha organiza dados fornecidos no texto e não substitui avaliação médica atualizada.</x:v>
      </x:c>
    </x:row>
  </x:sheetData>
  <x:mergeCells>
    <x:mergeCell ref="A1:H1"/>
    <x:mergeCell ref="A2:H2"/>
    <x:mergeCell ref="A28:H28"/>
  </x:mergeCells>
  <x:conditionalFormatting sqref="D16:D25">
    <x:cfRule type="expression" dxfId="7" priority="1">
      <x:formula>$D16="Crítica"</x:formula>
    </x:cfRule>
    <x:cfRule type="expression" dxfId="8" priority="2">
      <x:formula>$D16="Muito alta"</x:formula>
    </x:cfRule>
    <x:cfRule type="expression" dxfId="9" priority="3">
      <x:formula>$D16="Alta"</x:formula>
    </x:cfRule>
    <x:cfRule type="expression" dxfId="10" priority="4">
      <x:formula>$D16="Paliativo"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62aa74477c24d3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7" hidden="0" customWidth="1"/>
    <x:col min="4" max="4" width="36" hidden="0" customWidth="1"/>
    <x:col min="5" max="5" width="34" hidden="0" customWidth="1"/>
    <x:col min="6" max="6" width="30" hidden="0" customWidth="1"/>
    <x:col min="7" max="7" width="30" hidden="0" customWidth="1"/>
    <x:col min="8" max="8" width="26" hidden="0" customWidth="1"/>
    <x:col min="9" max="9" width="34" hidden="0" customWidth="1"/>
    <x:col min="10" max="10" width="36" hidden="0" customWidth="1"/>
    <x:col min="11" max="11" width="34" hidden="0" customWidth="1"/>
    <x:col min="12" max="12" width="40" hidden="0" customWidth="1"/>
    <x:col min="13" max="13" width="38" hidden="0" customWidth="1"/>
    <x:col min="14" max="14" width="16" hidden="0" customWidth="1"/>
    <x:col min="15" max="15" width="30" hidden="0" customWidth="1"/>
    <x:col min="16" max="16" width="8" hidden="0" customWidth="1"/>
    <x:col min="17" max="17" width="7" hidden="0" customWidth="1"/>
    <x:col min="18" max="18" width="8" hidden="0" customWidth="1"/>
    <x:col min="19" max="19" width="13" hidden="0" customWidth="1"/>
    <x:col min="20" max="20" width="9" hidden="0" customWidth="1"/>
    <x:col min="21" max="21" width="7" hidden="0" customWidth="1"/>
    <x:col min="22" max="22" width="22" hidden="0" customWidth="1"/>
  </x:cols>
  <x:sheetData>
    <x:row r="1" ht="34" customHeight="1">
      <x:c r="A1" s="6" t="str">
        <x:v>Leito</x:v>
      </x:c>
      <x:c r="B1" s="6" t="str">
        <x:v>Paciente</x:v>
      </x:c>
      <x:c r="C1" s="6" t="str">
        <x:v>Idade</x:v>
      </x:c>
      <x:c r="D1" s="6" t="str">
        <x:v>Diagnóstico / motivo da UTI</x:v>
      </x:c>
      <x:c r="E1" s="6" t="str">
        <x:v>Contexto / procedimentos</x:v>
      </x:c>
      <x:c r="F1" s="6" t="str">
        <x:v>Neuro / sedação</x:v>
      </x:c>
      <x:c r="G1" s="6" t="str">
        <x:v>Respiração / VM-O2</x:v>
      </x:c>
      <x:c r="H1" s="6" t="str">
        <x:v>Hemodinâmica</x:v>
      </x:c>
      <x:c r="I1" s="6" t="str">
        <x:v>Renal / BH / diálise</x:v>
      </x:c>
      <x:c r="J1" s="6" t="str">
        <x:v>Infecção / ATB / culturas</x:v>
      </x:c>
      <x:c r="K1" s="6" t="str">
        <x:v>Dispositivos / metabólico / nutrição</x:v>
      </x:c>
      <x:c r="L1" s="6" t="str">
        <x:v>Pendências críticas</x:v>
      </x:c>
      <x:c r="M1" s="6" t="str">
        <x:v>Plano de plantão</x:v>
      </x:c>
      <x:c r="N1" s="6" t="str">
        <x:v>Prioridade</x:v>
      </x:c>
      <x:c r="O1" s="6" t="str">
        <x:v>Status</x:v>
      </x:c>
      <x:c r="P1" s="6" t="str">
        <x:v>VM/IOT</x:v>
      </x:c>
      <x:c r="Q1" s="6" t="str">
        <x:v>DVA</x:v>
      </x:c>
      <x:c r="R1" s="6" t="str">
        <x:v>HD/DRC</x:v>
      </x:c>
      <x:c r="S1" s="6" t="str">
        <x:v>Sangramento/anticoag.</x:v>
      </x:c>
      <x:c r="T1" s="6" t="str">
        <x:v>Paliativo</x:v>
      </x:c>
      <x:c r="U1" s="6" t="str">
        <x:v>TQT</x:v>
      </x:c>
      <x:c r="V1" s="6" t="str">
        <x:v>Fonte/obs.</x:v>
      </x:c>
    </x:row>
    <x:row r="2" ht="72" customHeight="1">
      <x:c r="A2" s="14" t="str">
        <x:v>01</x:v>
      </x:c>
      <x:c r="B2" s="14" t="str">
        <x:v>Wayne Balbino</x:v>
      </x:c>
      <x:c r="C2" s="14" t="n">
        <x:v>30</x:v>
      </x:c>
      <x:c r="D2" s="14" t="str">
        <x:v>FAF toracoabdominal; choque hemorrágico resolvido; pós-operatório abdominal/torácico.</x:v>
      </x:c>
      <x:c r="E2" s="14" t="str">
        <x:v>Laparotomia exploradora + gastrorrafia + colorrafia + hepatorrafia + drenagem torácica E em 17/05; 3º PO.</x:v>
      </x:c>
      <x:c r="F2" s="14" t="str">
        <x:v>Tentativa de desmame de sedação cursou com agitação e hipossaturação; desmame cauteloso.</x:v>
      </x:c>
      <x:c r="G2" s="14" t="str">
        <x:v>Em VM/IOT; acompanhar RX tórax e tolerância ao desmame.</x:v>
      </x:c>
      <x:c r="H2" s="14" t="str">
        <x:v>Estável, sem DVA, sem sangramento exteriorizado nas últimas 24h.</x:v>
      </x:c>
      <x:c r="I2" s="14" t="str">
        <x:v>IRA em progressão: Cr 4,3 / Ur 114; diurese antes preservada, depois contraída; BH positivo; indicada 1ª HD em 20/05.</x:v>
      </x:c>
      <x:c r="J2" s="14" t="str">
        <x:v>Sem ATB atual destacado; reavaliar profilaxia/infecção conforme evolução.</x:v>
      </x:c>
      <x:c r="K2" s="14" t="str">
        <x:v>Dreno torácico 150 mL/24h; dreno abdominal 250 mL/24h; checar posicionamento de sonda para dieta.</x:v>
      </x:c>
      <x:c r="L2" s="14" t="str">
        <x:v>Checar RX tórax; checar sonda e liberar dieta; iniciar/acompanhar HD; seguir Hb, função renal e drenos; reavaliar profilaxia TEV.</x:v>
      </x:c>
      <x:c r="M2" s="14" t="str">
        <x:v>Vigiar sangramento oculto, BH, escórias e tolerância ao despertar; liberar dieta enteral se imagem/sonda OK.</x:v>
      </x:c>
      <x:c r="N2" s="14" t="str">
        <x:v>Alta</x:v>
      </x:c>
      <x:c r="O2" s="14" t="str">
        <x:v>Pós-operatório crítico / VM</x:v>
      </x:c>
      <x:c r="P2" s="14" t="n">
        <x:v>1</x:v>
      </x:c>
      <x:c r="Q2" s="14" t="n">
        <x:v>0</x:v>
      </x:c>
      <x:c r="R2" s="14" t="n">
        <x:v>1</x:v>
      </x:c>
      <x:c r="S2" s="14" t="n">
        <x:v>1</x:v>
      </x:c>
      <x:c r="T2" s="14" t="n">
        <x:v>0</x:v>
      </x:c>
      <x:c r="U2" s="14" t="n">
        <x:v>0</x:v>
      </x:c>
      <x:c r="V2" s="14" t="str">
        <x:v>Texto do usuário - passagem UTI 2 SCMS 20/05</x:v>
      </x:c>
    </x:row>
    <x:row r="3" ht="72" customHeight="1">
      <x:c r="A3" s="14" t="str">
        <x:v>02</x:v>
      </x:c>
      <x:c r="B3" s="14" t="str">
        <x:v>José Gutemberg Rios Neto</x:v>
      </x:c>
      <x:c r="C3" s="14" t="n">
        <x:v>72</x:v>
      </x:c>
      <x:c r="D3" s="14" t="str">
        <x:v>Queda da própria altura; HSA traumática pequena; crises epilépticas; edema agudo de pulmão/congestão; RNC + IRAp.</x:v>
      </x:c>
      <x:c r="E3" s="14" t="str">
        <x:v>TC: encefalomalácia frontal D, pequena lesão hemorrágica cortical parietal D, traço de fratura parietal. Transferido à UTI em 18/05.</x:v>
      </x:c>
      <x:c r="F3" s="14" t="str">
        <x:v>Glasgow descrito 7; sonolento/hipoativo; neuro/neurocirurgia acompanhando.</x:v>
      </x:c>
      <x:c r="G3" s="14" t="str">
        <x:v>Taquidispneia/hipoxemia em CNBF com SatO₂ 88–94%; indicada/realizada IOT por RNC + insuficiência respiratória.</x:v>
      </x:c>
      <x:c r="H3" s="14" t="str">
        <x:v>Estável sem DVA; PA variável; FC até 120 bpm.</x:v>
      </x:c>
      <x:c r="I3" s="14" t="str">
        <x:v>Retenção urinária; SVD desde 19/05. Constipação sem evacuação desde admissão.</x:v>
      </x:c>
      <x:c r="J3" s="14" t="str">
        <x:v>Tazocin desde 19/05; rastreio infeccioso solicitado; leucócitos 13.390, PCR 14; EAS com leucócitos/hematúria.</x:v>
      </x:c>
      <x:c r="K3" s="14" t="str">
        <x:v>TOT; SVD. Avaliar clister por constipação.</x:v>
      </x:c>
      <x:c r="L3" s="14" t="str">
        <x:v>Nova TC crânio e tórax; EEG; RX/TC tórax; ECG; revisar ecocardiograma; hemoculturas e urinocultura.</x:v>
      </x:c>
      <x:c r="M3" s="14" t="str">
        <x:v>Priorizar neuroimagem/EEG e rastreio infeccioso; controlar ventilação e distensão/constipação.</x:v>
      </x:c>
      <x:c r="N3" s="14" t="str">
        <x:v>Alta</x:v>
      </x:c>
      <x:c r="O3" s="14" t="str">
        <x:v>Neurocrítico / IOT recente</x:v>
      </x:c>
      <x:c r="P3" s="14" t="n">
        <x:v>1</x:v>
      </x:c>
      <x:c r="Q3" s="14" t="n">
        <x:v>0</x:v>
      </x:c>
      <x:c r="R3" s="14" t="n">
        <x:v>0</x:v>
      </x:c>
      <x:c r="S3" s="14" t="n">
        <x:v>0</x:v>
      </x:c>
      <x:c r="T3" s="14" t="n">
        <x:v>0</x:v>
      </x:c>
      <x:c r="U3" s="14" t="n">
        <x:v>0</x:v>
      </x:c>
      <x:c r="V3" s="14" t="str">
        <x:v>Texto do usuário - passagem UTI 2 SCMS 20/05</x:v>
      </x:c>
    </x:row>
    <x:row r="4" ht="72" customHeight="1">
      <x:c r="A4" s="14" t="str">
        <x:v>03</x:v>
      </x:c>
      <x:c r="B4" s="14" t="str">
        <x:v>Francisco Geracino de Souza</x:v>
      </x:c>
      <x:c r="C4" s="14" t="n">
        <x:v>82</x:v>
      </x:c>
      <x:c r="D4" s="14" t="str">
        <x:v>RNC/agitação/queda; hipótese inicial abstinência vs SNC/encefalite; choque séptico provável pulmonar/urinário; pneumotórax com fístula aérea.</x:v>
      </x:c>
      <x:c r="E4" s="14" t="str">
        <x:v>IOT em 11/05; pneumotórax drenado em 12/05; dreno torácico D em aspiração contínua.</x:v>
      </x:c>
      <x:c r="F4" s="14" t="str">
        <x:v>Despertar ineficaz; não tolerou desmame, com hipossaturação e desconforto.</x:v>
      </x:c>
      <x:c r="G4" s="14" t="str">
        <x:v>VM PCV: FiO₂ 80%, PEEP 3, FR 21, Pinsp 12; SatO₂ 89–97%; fístula aérea de alto débito.</x:v>
      </x:c>
      <x:c r="H4" s="14" t="str">
        <x:v>Noradrenalina 3 mL/h.</x:v>
      </x:c>
      <x:c r="I4" s="14" t="str">
        <x:v>Ur &gt;100; Cr 1,7→1,3; diurese 1350 mL/24h; BH +498 mL; monitorar BH/função renal.</x:v>
      </x:c>
      <x:c r="J4" s="14" t="str">
        <x:v>Tazocin desde 06/05; HMC 06/05 negativas; novo rastreio por febre e despertar ineficaz em 19/05. Leucócitos ainda elevados, febre 38,3.</x:v>
      </x:c>
      <x:c r="K4" s="14" t="str">
        <x:v>TOT; dreno torácico D em aspiração contínua; DVA.</x:v>
      </x:c>
      <x:c r="L4" s="14" t="str">
        <x:v>TC crânio e TC tórax quando condições de transporte; cirurgia torácica sobre dreno/aspiração após TC; decidir escalonamento ATB conforme evolução/culturas.</x:v>
      </x:c>
      <x:c r="M4" s="14" t="str">
        <x:v>Paciente muito instável respiratório; foco no controle de oxigenação, fístula aérea, culturas e transporte seguro para TC.</x:v>
      </x:c>
      <x:c r="N4" s="14" t="str">
        <x:v>Muito alta</x:v>
      </x:c>
      <x:c r="O4" s="14" t="str">
        <x:v>Séptico ventilado + fístula aérea</x:v>
      </x:c>
      <x:c r="P4" s="14" t="n">
        <x:v>1</x:v>
      </x:c>
      <x:c r="Q4" s="14" t="n">
        <x:v>1</x:v>
      </x:c>
      <x:c r="R4" s="14" t="n">
        <x:v>0</x:v>
      </x:c>
      <x:c r="S4" s="14" t="n">
        <x:v>0</x:v>
      </x:c>
      <x:c r="T4" s="14" t="n">
        <x:v>0</x:v>
      </x:c>
      <x:c r="U4" s="14" t="n">
        <x:v>0</x:v>
      </x:c>
      <x:c r="V4" s="14" t="str">
        <x:v>Texto do usuário - passagem UTI 2 SCMS 20/05</x:v>
      </x:c>
    </x:row>
    <x:row r="5" ht="72" customHeight="1">
      <x:c r="A5" s="14" t="str">
        <x:v>04</x:v>
      </x:c>
      <x:c r="B5" s="14" t="str">
        <x:v>Expedito Antonio Silva Alves</x:v>
      </x:c>
      <x:c r="C5" s="14" t="n">
        <x:v>60</x:v>
      </x:c>
      <x:c r="D5" s="14" t="str">
        <x:v>DRC dialítico por doença renal policística; HAS/DM2; IPCS por Acinetobacter baumannii MDR; pós-PCR prolongada; coma/despertar neurológico ineficaz.</x:v>
      </x:c>
      <x:c r="E5" s="14" t="str">
        <x:v>PCR em 08/05 com RCE após 9 ciclos; TOT desde 08/05. Conferência familiar: cuidados paliativos exclusivos.</x:v>
      </x:c>
      <x:c r="F5" s="14" t="str">
        <x:v>Sem sedação; RASS -2; direciona olhar, mas não obedece comandos. Prognóstico neurológico/global muito reservado.</x:v>
      </x:c>
      <x:c r="G5" s="14" t="str">
        <x:v>VM por TOT em PSV; FiO₂ 21%, PEEP 5, boa saturação.</x:v>
      </x:c>
      <x:c r="H5" s="14" t="str">
        <x:v>Estável sem DVA; plano de não reintroduzir DVA e não realizar RCP.</x:v>
      </x:c>
      <x:c r="I5" s="14" t="str">
        <x:v>Anúrico em terapia dialítica; HD conforme tolerância, sem DVA.</x:v>
      </x:c>
      <x:c r="J5" s="14" t="str">
        <x:v>ATB suspenso após definição de cuidados paliativos exclusivos; restrição de exames.</x:v>
      </x:c>
      <x:c r="K5" s="14" t="str">
        <x:v>TOT; acesso para HD; plaquetopenia 23.000 em 19/05; recebeu 1 buff.</x:v>
      </x:c>
      <x:c r="L5" s="14" t="str">
        <x:v>Manter conforto; não RCP/não DVA; controlar sintomas; evitar distanásia; manter comunicação coerente com família.</x:v>
      </x:c>
      <x:c r="M5" s="14" t="str">
        <x:v>Plano de conforto e dignidade; HD apenas se compatível com conforto/tolerância e plano familiar.</x:v>
      </x:c>
      <x:c r="N5" s="14" t="str">
        <x:v>Paliativo exclusivo</x:v>
      </x:c>
      <x:c r="O5" s="14" t="str">
        <x:v>Cuidados paliativos exclusivos</x:v>
      </x:c>
      <x:c r="P5" s="14" t="n">
        <x:v>1</x:v>
      </x:c>
      <x:c r="Q5" s="14" t="n">
        <x:v>0</x:v>
      </x:c>
      <x:c r="R5" s="14" t="n">
        <x:v>1</x:v>
      </x:c>
      <x:c r="S5" s="14" t="n">
        <x:v>1</x:v>
      </x:c>
      <x:c r="T5" s="14" t="n">
        <x:v>1</x:v>
      </x:c>
      <x:c r="U5" s="14" t="n">
        <x:v>0</x:v>
      </x:c>
      <x:c r="V5" s="14" t="str">
        <x:v>Texto do usuário - passagem UTI 2 SCMS 20/05</x:v>
      </x:c>
    </x:row>
    <x:row r="6" ht="72" customHeight="1">
      <x:c r="A6" s="14" t="str">
        <x:v>05</x:v>
      </x:c>
      <x:c r="B6" s="14" t="str">
        <x:v>Antonia da Cunha Frota</x:v>
      </x:c>
      <x:c r="C6" s="14" t="n">
        <x:v>77</x:v>
      </x:c>
      <x:c r="D6" s="14" t="str">
        <x:v>Delirium/RNC; IOT em 12/05; despertar ineficaz sem sedação; panssinusopatia/material denso em globo ocular.</x:v>
      </x:c>
      <x:c r="E6" s="14" t="str">
        <x:v>TC crânio sem AVC/hemorragia recente; microangiopatia/gliose. Líquor coletado em 20/05.</x:v>
      </x:c>
      <x:c r="F6" s="14" t="str">
        <x:v>Sem sedoanalgesia desde 16/05; Glasgow AO1/RV1NT/RM5; anisocoria com midríase E relatada como prévia.</x:v>
      </x:c>
      <x:c r="G6" s="14" t="str">
        <x:v>TOT; CPAP + PSV; FiO₂ 30%, PEEP 5, SatO₂ 89–95%, sem assincronias.</x:v>
      </x:c>
      <x:c r="H6" s="14" t="str">
        <x:v>Estável sem DVA; FC 60–90; PAM 66–97.</x:v>
      </x:c>
      <x:c r="I6" s="14" t="str">
        <x:v>SVD; função renal preservada; diurese presente.</x:v>
      </x:c>
      <x:c r="J6" s="14" t="str">
        <x:v>Tazocin + vancomicina desde 19/05; culturas pendentes; se piora, lembrar possibilidade de cobertura para mucormicose conforme orientação da infectologia.</x:v>
      </x:c>
      <x:c r="K6" s="14" t="str">
        <x:v>Dieta enteral com boa aceitação; hiperglicemia até DX 312, ajustando NPH.</x:v>
      </x:c>
      <x:c r="L6" s="14" t="str">
        <x:v>EEG; B12/TSH/T4L; culturas; parecer oftalmologia; avaliar TQT se persistir falha de despertar; vigiar rinossinusite/orbita.</x:v>
      </x:c>
      <x:c r="M6" s="14" t="str">
        <x:v>Investigar causas reversíveis de coma; manter suporte ventilatório e preparar TQT se sem melhora neurológica.</x:v>
      </x:c>
      <x:c r="N6" s="14" t="str">
        <x:v>Alta</x:v>
      </x:c>
      <x:c r="O6" s="14" t="str">
        <x:v>RNC persistente sem sedação + VM</x:v>
      </x:c>
      <x:c r="P6" s="14" t="n">
        <x:v>1</x:v>
      </x:c>
      <x:c r="Q6" s="14" t="n">
        <x:v>0</x:v>
      </x:c>
      <x:c r="R6" s="14" t="n">
        <x:v>0</x:v>
      </x:c>
      <x:c r="S6" s="14" t="n">
        <x:v>0</x:v>
      </x:c>
      <x:c r="T6" s="14" t="n">
        <x:v>0</x:v>
      </x:c>
      <x:c r="U6" s="14" t="n">
        <x:v>1</x:v>
      </x:c>
      <x:c r="V6" s="14" t="str">
        <x:v>Texto do usuário - passagem UTI 2 SCMS 20/05</x:v>
      </x:c>
    </x:row>
    <x:row r="7" ht="72" customHeight="1">
      <x:c r="A7" s="14" t="str">
        <x:v>06</x:v>
      </x:c>
      <x:c r="B7" s="14" t="str">
        <x:v>Antonia Carla Silva de Oliveira</x:v>
      </x:c>
      <x:c r="C7" s="14" t="n">
        <x:v>24</x:v>
      </x:c>
      <x:c r="D7" s="14" t="str">
        <x:v>DM1, HAS, DRC dialítica, ICFE FEVE ~43%; derrame pleural D loculado/parapneumônico; foco ortopédico crônico em MID.</x:v>
      </x:c>
      <x:c r="E7" s="14" t="str">
        <x:v>Videotoracoscopia + decorticação pulmonar + drenagem torácica D em 18/05; 2º PO. Aguardando avaliação/transferência ao HGF.</x:v>
      </x:c>
      <x:c r="F7" s="14" t="str">
        <x:v>Consciente, Glasgow 15.</x:v>
      </x:c>
      <x:c r="G7" s="14" t="str">
        <x:v>CN 1 L/min; eupneica; SatO₂ 89–99%. Cirurgia torácica orientou retirada do dreno; dreno deslocado/perdeu selo d’água.</x:v>
      </x:c>
      <x:c r="H7" s="14" t="str">
        <x:v>Estável sem DVA.</x:v>
      </x:c>
      <x:c r="I7" s="14" t="str">
        <x:v>DRC dialítica; diurese residual 550 mL/24h; BH +1116; HD em 20/05 sem intercorrências; restrição hídrica conforme necessidade.</x:v>
      </x:c>
      <x:c r="J7" s="14" t="str">
        <x:v>Meropenem + vancomicina desde 11/05; aguardando cultura de líquido pleural de 18/05.</x:v>
      </x:c>
      <x:c r="K7" s="14" t="str">
        <x:v>Perdeu acesso periférico; puncionado acesso central. Episódios de hipoglicemia persistente, redução de insulina e aporte calórico.</x:v>
      </x:c>
      <x:c r="L7" s="14" t="str">
        <x:v>Aguardar cultura pleural; controle de hipoglicemia; controle de volume/HD; RX seriado por risco de pneumotórax; atualizar transferência HGF.</x:v>
      </x:c>
      <x:c r="M7" s="14" t="str">
        <x:v>Pós-operatório torácico com alto risco metabólico/volume; priorizar glicemia, dreno/pneumotórax e plano ortopédico.</x:v>
      </x:c>
      <x:c r="N7" s="14" t="str">
        <x:v>Média/Alta</x:v>
      </x:c>
      <x:c r="O7" s="14" t="str">
        <x:v>Pós-operatório torácico / dialítica</x:v>
      </x:c>
      <x:c r="P7" s="14" t="n">
        <x:v>0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0</x:v>
      </x:c>
      <x:c r="V7" s="14" t="str">
        <x:v>Texto do usuário - passagem UTI 2 SCMS 20/05</x:v>
      </x:c>
    </x:row>
    <x:row r="8" ht="72" customHeight="1">
      <x:c r="A8" s="14" t="str">
        <x:v>07</x:v>
      </x:c>
      <x:c r="B8" s="14" t="str">
        <x:v>Ricardo Apolinário Guilherme</x:v>
      </x:c>
      <x:c r="C8" s="14" t="n">
        <x:v>38</x:v>
      </x:c>
      <x:c r="D8" s="14" t="str">
        <x:v>Queda de moto; TCE grave; lesão bifrontal gravíssima; edema/isquemia/contusão/HED; fístula liquórica contida.</x:v>
      </x:c>
      <x:c r="E8" s="14" t="str">
        <x:v>Craniectomia descompressiva D + drenagem de HSD/HIC + correção de fístula liquórica em 10/05.</x:v>
      </x:c>
      <x:c r="F8" s="14" t="str">
        <x:v>Mantido em sedoanalgesia até TQT; desconforto respiratório levou a bloqueio neuromuscular.</x:v>
      </x:c>
      <x:c r="G8" s="14" t="str">
        <x:v>VM por TOT; não tolera desmame de VM; TQT indicada/programada para 21/05 pela manhã.</x:v>
      </x:c>
      <x:c r="H8" s="14" t="str">
        <x:v>Sem DVA; PAM elevada; FC até 125.</x:v>
      </x:c>
      <x:c r="I8" s="14" t="str">
        <x:v>IRA por rabdomiólise com CPK pico &gt;13.000, em queda; função renal recuperada.</x:v>
      </x:c>
      <x:c r="J8" s="14" t="str">
        <x:v>Afebril; sem sangramentos; fez clindamicina 10/05–15/05; sem quimioprofilaxia TEV por pré-operatório.</x:v>
      </x:c>
      <x:c r="K8" s="14" t="str">
        <x:v>TOT; ferida operatória craniana; dieta zero para TQT; termo assinado.</x:v>
      </x:c>
      <x:c r="L8" s="14" t="str">
        <x:v>Realizar TQT 21/05; vigiar saída de líquor; parecer oftalmologia; esclarecer sorologia HIV contraditória; reavaliar TEV pós-procedimento.</x:v>
      </x:c>
      <x:c r="M8" s="14" t="str">
        <x:v>Manter estabilidade até TQT; neurovigilância e controle de fístula/infecção/TEV.</x:v>
      </x:c>
      <x:c r="N8" s="14" t="str">
        <x:v>Alta</x:v>
      </x:c>
      <x:c r="O8" s="14" t="str">
        <x:v>Neurotrauma grave / TQT programada</x:v>
      </x:c>
      <x:c r="P8" s="14" t="n">
        <x:v>1</x:v>
      </x:c>
      <x:c r="Q8" s="14" t="n">
        <x:v>0</x:v>
      </x:c>
      <x:c r="R8" s="14" t="n">
        <x:v>0</x:v>
      </x:c>
      <x:c r="S8" s="14" t="n">
        <x:v>0</x:v>
      </x:c>
      <x:c r="T8" s="14" t="n">
        <x:v>0</x:v>
      </x:c>
      <x:c r="U8" s="14" t="n">
        <x:v>1</x:v>
      </x:c>
      <x:c r="V8" s="14" t="str">
        <x:v>Texto do usuário - passagem UTI 2 SCMS 20/05</x:v>
      </x:c>
    </x:row>
    <x:row r="9" ht="72" customHeight="1">
      <x:c r="A9" s="14" t="str">
        <x:v>08</x:v>
      </x:c>
      <x:c r="B9" s="14" t="str">
        <x:v>José Galdêncio Reis</x:v>
      </x:c>
      <x:c r="C9" s="14" t="n">
        <x:v>65</x:v>
      </x:c>
      <x:c r="D9" s="14" t="str">
        <x:v>Lesão infiltrativa paravertebral/sacral; osteomielite/TB óssea/abscesso; TVP bilateral extensa; HDA/HDB recorrente; choque séptico refratário.</x:v>
      </x:c>
      <x:c r="E9" s="14" t="str">
        <x:v>Laminectomia em 07/04; RIPE desde 30/04; em 18/05: choque séptico refratário, IOT, noradrenalina, vasopressina, azul de metileno.</x:v>
      </x:c>
      <x:c r="F9" s="14" t="str">
        <x:v>Sedação não detalhada; quadro crítico, em suporte avançado.</x:v>
      </x:c>
      <x:c r="G9" s="14" t="str">
        <x:v>IOT/VM desde 18/05.</x:v>
      </x:c>
      <x:c r="H9" s="14" t="str">
        <x:v>Hemodinâmica em discreta melhora, ainda em dupla vasopressão; tolerou algum desmame de DVA.</x:v>
      </x:c>
      <x:c r="I9" s="14" t="str">
        <x:v>Oligúria 200 mL/24h; BH +3732; disfunção renal; HD indicada, ainda pendente por excesso de pacientes em diálise.</x:v>
      </x:c>
      <x:c r="J9" s="14" t="str">
        <x:v>RIPE + teicoplanina + meropenem + polimixina B; lactato 7,38, PCR 130.</x:v>
      </x:c>
      <x:c r="K9" s="14" t="str">
        <x:v>Hb 7,1, plaquetas 92 mil; recebeu hemotransfusão. Anticoagulação limitada por sangramento; aguarda filtro de VCI/EDA.</x:v>
      </x:c>
      <x:c r="L9" s="14" t="str">
        <x:v>HD pendente; retornar dieta; seguir desmame de DVA; monitorar lactato/Hb/sangramento; aguardar EDA e filtro VCI; manter cuidados proporcionais.</x:v>
      </x:c>
      <x:c r="M9" s="14" t="str">
        <x:v>Trial proporcional: ATB/DVA/HD conforme resposta, sem RCP; foco em controle de choque, diálise e sangramento.</x:v>
      </x:c>
      <x:c r="N9" s="14" t="str">
        <x:v>Crítica</x:v>
      </x:c>
      <x:c r="O9" s="14" t="str">
        <x:v>Choque séptico refratário / proporcional</x:v>
      </x:c>
      <x:c r="P9" s="14" t="n">
        <x:v>1</x:v>
      </x:c>
      <x:c r="Q9" s="14" t="n">
        <x:v>1</x:v>
      </x:c>
      <x:c r="R9" s="14" t="n">
        <x:v>1</x:v>
      </x:c>
      <x:c r="S9" s="14" t="n">
        <x:v>1</x:v>
      </x:c>
      <x:c r="T9" s="14" t="n">
        <x:v>1</x:v>
      </x:c>
      <x:c r="U9" s="14" t="n">
        <x:v>0</x:v>
      </x:c>
      <x:c r="V9" s="14" t="str">
        <x:v>Texto do usuário - passagem UTI 2 SCMS 20/05</x:v>
      </x:c>
    </x:row>
    <x:row r="10" ht="72" customHeight="1">
      <x:c r="A10" s="14" t="str">
        <x:v>09</x:v>
      </x:c>
      <x:c r="B10" s="14" t="str">
        <x:v>Wilson Gomes Farias</x:v>
      </x:c>
      <x:c r="C10" s="14" t="n">
        <x:v>54</x:v>
      </x:c>
      <x:c r="D10" s="14" t="str">
        <x:v>DRC dialítico; sepse provável abdominal/osteoarticular; coleções volumosas em coxa D/inguinal/abdominopélvicas; TVP bilateral; anemia/sangramento.</x:v>
      </x:c>
      <x:c r="E10" s="14" t="str">
        <x:v>TC abdome/pelve: coleções volumosas com efeito compressivo sobre bexiga/reto baixo; sem afastar comunicação. Hematoma toracoabdominal e edema peniano/escrotal.</x:v>
      </x:c>
      <x:c r="F10" s="14" t="str">
        <x:v>Neurológico não detalhado.</x:v>
      </x:c>
      <x:c r="G10" s="14" t="str">
        <x:v>Sem VM/IOT descrita na passagem.</x:v>
      </x:c>
      <x:c r="H10" s="14" t="str">
        <x:v>DVA não descrita; quadro séptico grave sem controle de foco.</x:v>
      </x:c>
      <x:c r="I10" s="14" t="str">
        <x:v>Anúria/baixo débito; gasometria 20/05 com acidose metabólica grave pH 7,24/HCO₃ 7,5; HD urgente realizada ontem.</x:v>
      </x:c>
      <x:c r="J10" s="14" t="str">
        <x:v>Meropenem desde 15/05 + teicoplanina desde 06/05; diarista orientou trocar teicoplanina por vancomicina; novas culturas 20/05.</x:v>
      </x:c>
      <x:c r="K10" s="14" t="str">
        <x:v>TVP bilateral com anticoagulação suspensa por queda de Hb/sangramento/hematúria; Hb 4,8–5,9, múltiplas transfusões.</x:v>
      </x:c>
      <x:c r="L10" s="14" t="str">
        <x:v>Parecer hematologia; drenagem por radiointervenção ou transferência ao HRN; filtro VCI; definir controle de foco; ajustar ATB; vigiar Hb/acidose.</x:v>
      </x:c>
      <x:c r="M10" s="14" t="str">
        <x:v>Priorizar controle de foco e segurança hemorrágica; sepse + DRC + TVP sem anticoagulação = alto risco.</x:v>
      </x:c>
      <x:c r="N10" s="14" t="str">
        <x:v>Crítica</x:v>
      </x:c>
      <x:c r="O10" s="14" t="str">
        <x:v>Sepse sem controle de foco + sangramento</x:v>
      </x:c>
      <x:c r="P10" s="14" t="n">
        <x:v>0</x:v>
      </x:c>
      <x:c r="Q10" s="14" t="n">
        <x:v>0</x:v>
      </x:c>
      <x:c r="R10" s="14" t="n">
        <x:v>1</x:v>
      </x:c>
      <x:c r="S10" s="14" t="n">
        <x:v>1</x:v>
      </x:c>
      <x:c r="T10" s="14" t="n">
        <x:v>0</x:v>
      </x:c>
      <x:c r="U10" s="14" t="n">
        <x:v>0</x:v>
      </x:c>
      <x:c r="V10" s="14" t="str">
        <x:v>Texto do usuário - passagem UTI 2 SCMS 20/05</x:v>
      </x:c>
    </x:row>
    <x:row r="11" ht="72" customHeight="1">
      <x:c r="A11" s="14" t="str">
        <x:v>10</x:v>
      </x:c>
      <x:c r="B11" s="14" t="str">
        <x:v>Luiz Ferre Soares</x:v>
      </x:c>
      <x:c r="C11" s="14" t="n">
        <x:v>81</x:v>
      </x:c>
      <x:c r="D11" s="14" t="str">
        <x:v>TCE grave após queda; contusão temporal D, HSAT/HSDA laminar D, contusão temporal E por contragolpe, HSAT E; sem desvio de linha média/HIC.</x:v>
      </x:c>
      <x:c r="E11" s="14" t="str">
        <x:v>Conduta neurocirúrgica conservadora; IOT 12/05; falha de extubação em 17/05, reintubado após cerca de 1h.</x:v>
      </x:c>
      <x:c r="F11" s="14" t="str">
        <x:v>Sedado RASS -5; opioide/propofol conforme evolução. Desconforto importante; aventada crise convulsiva; hidantalização; fenitoína + levetiracetam; iniciado BNM.</x:v>
      </x:c>
      <x:c r="G11" s="14" t="str">
        <x:v>VM por TOT; hipossaturação/desconforto respiratório exigindo bloqueio neuromuscular.</x:v>
      </x:c>
      <x:c r="H11" s="14" t="str">
        <x:v>Sem DVA; variação importante de FC; PAM elevada.</x:v>
      </x:c>
      <x:c r="I11" s="14" t="str">
        <x:v>Função renal não destacada. Hematúria macroscópica por trauma de SVD/HBP; irrigação vesical contínua por 7 dias.</x:v>
      </x:c>
      <x:c r="J11" s="14" t="str">
        <x:v>Tazocin desde 18/05; aspirado traqueal e HMC pendentes; afebril.</x:v>
      </x:c>
      <x:c r="K11" s="14" t="str">
        <x:v>TOT; SVD com irrigação vesical contínua; BNM.</x:v>
      </x:c>
      <x:c r="L11" s="14" t="str">
        <x:v>Nova TC de crânio por deterioração clínica; avaliar TQT; acompanhar culturas; manejar hematuria/irrigação; avaliar crise convulsiva/EEG se disponível.</x:v>
      </x:c>
      <x:c r="M11" s="14" t="str">
        <x:v>Neurovigilância + ventilação protetora; priorizar TC e decisão de TQT, mantendo controle convulsivo e urológico.</x:v>
      </x:c>
      <x:c r="N11" s="14" t="str">
        <x:v>Crítica</x:v>
      </x:c>
      <x:c r="O11" s="14" t="str">
        <x:v>TCE grave com deterioração respiratória</x:v>
      </x:c>
      <x:c r="P11" s="14" t="n">
        <x:v>1</x:v>
      </x:c>
      <x:c r="Q11" s="14" t="n">
        <x:v>0</x:v>
      </x:c>
      <x:c r="R11" s="14" t="n">
        <x:v>0</x:v>
      </x:c>
      <x:c r="S11" s="14" t="n">
        <x:v>1</x:v>
      </x:c>
      <x:c r="T11" s="14" t="n">
        <x:v>0</x:v>
      </x:c>
      <x:c r="U11" s="14" t="n">
        <x:v>1</x:v>
      </x:c>
      <x:c r="V11" s="14" t="str">
        <x:v>Texto do usuário - passagem UTI 2 SCMS 20/05</x:v>
      </x:c>
    </x:row>
  </x:sheetData>
  <x:conditionalFormatting sqref="N2:N11">
    <x:cfRule type="expression" dxfId="0" priority="1">
      <x:formula>$N2="Crítica"</x:formula>
    </x:cfRule>
    <x:cfRule type="expression" dxfId="1" priority="2">
      <x:formula>$N2="Muito alta"</x:formula>
    </x:cfRule>
    <x:cfRule type="expression" dxfId="2" priority="3">
      <x:formula>$N2="Alta"</x:formula>
    </x:cfRule>
    <x:cfRule type="expression" dxfId="3" priority="4">
      <x:formula>$N2="Paliativo exclusivo"</x:formula>
    </x:cfRule>
  </x:conditionalFormatting>
  <x:dataValidations count="2">
    <x:dataValidation type="list" sqref="N2:N11">
      <x:formula1>"Crítica,Muito alta,Alta,Média/Alta,Paliativo exclusivo"</x:formula1>
    </x:dataValidation>
    <x:dataValidation type="list" sqref="O2:O11">
      <x:formula1>"Pós-operatório crítico / VM,Neurocrítico / IOT recente,Séptico ventilado + fístula aérea,Cuidados paliativos exclusivos,RNC persistente sem sedação + VM,Pós-operatório torácico / dialítica,Neurotrauma grave / TQT programada,Choque séptico refratário / proporcional,Sepse sem controle de foco + sangramento,TCE grave com deterioração respiratória"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53e95f44d14b9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8" hidden="0" customWidth="1"/>
    <x:col min="4" max="4" width="48" hidden="0" customWidth="1"/>
    <x:col min="5" max="5" width="14" hidden="0" customWidth="1"/>
    <x:col min="6" max="6" width="14" hidden="0" customWidth="1"/>
    <x:col min="7" max="7" width="16" hidden="0" customWidth="1"/>
    <x:col min="8" max="8" width="40" hidden="0" customWidth="1"/>
  </x:cols>
  <x:sheetData>
    <x:row r="1" ht="30" customHeight="1">
      <x:c r="A1" s="6" t="str">
        <x:v>Leito</x:v>
      </x:c>
      <x:c r="B1" s="6" t="str">
        <x:v>Paciente</x:v>
      </x:c>
      <x:c r="C1" s="6" t="str">
        <x:v>Categoria</x:v>
      </x:c>
      <x:c r="D1" s="6" t="str">
        <x:v>Pendência / ação</x:v>
      </x:c>
      <x:c r="E1" s="6" t="str">
        <x:v>Prioridade</x:v>
      </x:c>
      <x:c r="F1" s="6" t="str">
        <x:v>Status</x:v>
      </x:c>
      <x:c r="G1" s="6" t="str">
        <x:v>Responsável</x:v>
      </x:c>
      <x:c r="H1" s="6" t="str">
        <x:v>Observações</x:v>
      </x:c>
    </x:row>
    <x:row r="2" ht="45" customHeight="1">
      <x:c r="A2" s="14" t="str">
        <x:v>01</x:v>
      </x:c>
      <x:c r="B2" s="14" t="str">
        <x:v>Wayne Balbino</x:v>
      </x:c>
      <x:c r="C2" s="14" t="str">
        <x:v>Imagem</x:v>
      </x:c>
      <x:c r="D2" s="14" t="str">
        <x:v>Checar RX de tórax</x:v>
      </x:c>
      <x:c r="E2" s="14" t="str">
        <x:v>Alta</x:v>
      </x:c>
      <x:c r="F2" s="14" t="str">
        <x:v>Pendente</x:v>
      </x:c>
      <x:c r="G2" s="14" t="str"/>
      <x:c r="H2" s="14" t="str">
        <x:v>Antes de avançar desmame/dieta.</x:v>
      </x:c>
    </x:row>
    <x:row r="3" ht="45" customHeight="1">
      <x:c r="A3" s="14" t="str">
        <x:v>01</x:v>
      </x:c>
      <x:c r="B3" s="14" t="str">
        <x:v>Wayne Balbino</x:v>
      </x:c>
      <x:c r="C3" s="14" t="str">
        <x:v>Nutrição</x:v>
      </x:c>
      <x:c r="D3" s="14" t="str">
        <x:v>Checar sonda e liberar dieta enteral se posição adequada</x:v>
      </x:c>
      <x:c r="E3" s="14" t="str">
        <x:v>Alta</x:v>
      </x:c>
      <x:c r="F3" s="14" t="str">
        <x:v>Pendente</x:v>
      </x:c>
      <x:c r="G3" s="14" t="str"/>
      <x:c r="H3" s="14" t="str"/>
    </x:row>
    <x:row r="4" ht="45" customHeight="1">
      <x:c r="A4" s="14" t="str">
        <x:v>01</x:v>
      </x:c>
      <x:c r="B4" s="14" t="str">
        <x:v>Wayne Balbino</x:v>
      </x:c>
      <x:c r="C4" s="14" t="str">
        <x:v>Renal</x:v>
      </x:c>
      <x:c r="D4" s="14" t="str">
        <x:v>Realizar/acompanhar 1ª HD indicada em 20/05</x:v>
      </x:c>
      <x:c r="E4" s="14" t="str">
        <x:v>Alta</x:v>
      </x:c>
      <x:c r="F4" s="14" t="str">
        <x:v>Pendente</x:v>
      </x:c>
      <x:c r="G4" s="14" t="str"/>
      <x:c r="H4" s="14" t="str">
        <x:v>Monitorar BH, K, ureia/Cr.</x:v>
      </x:c>
    </x:row>
    <x:row r="5" ht="45" customHeight="1">
      <x:c r="A5" s="14" t="str">
        <x:v>01</x:v>
      </x:c>
      <x:c r="B5" s="14" t="str">
        <x:v>Wayne Balbino</x:v>
      </x:c>
      <x:c r="C5" s="14" t="str">
        <x:v>Hemato/cirúrgico</x:v>
      </x:c>
      <x:c r="D5" s="14" t="str">
        <x:v>Seguir Hb, drenos e sangramento oculto</x:v>
      </x:c>
      <x:c r="E5" s="14" t="str">
        <x:v>Alta</x:v>
      </x:c>
      <x:c r="F5" s="14" t="str">
        <x:v>Pendente</x:v>
      </x:c>
      <x:c r="G5" s="14" t="str"/>
      <x:c r="H5" s="14" t="str">
        <x:v>Dreno torácico 150; abdominal 250 mL/24h.</x:v>
      </x:c>
    </x:row>
    <x:row r="6" ht="45" customHeight="1">
      <x:c r="A6" s="14" t="str">
        <x:v>01</x:v>
      </x:c>
      <x:c r="B6" s="14" t="str">
        <x:v>Wayne Balbino</x:v>
      </x:c>
      <x:c r="C6" s="14" t="str">
        <x:v>TEV</x:v>
      </x:c>
      <x:c r="D6" s="14" t="str">
        <x:v>Reavaliar profilaxia TEV</x:v>
      </x:c>
      <x:c r="E6" s="14" t="str">
        <x:v>Média</x:v>
      </x:c>
      <x:c r="F6" s="14" t="str">
        <x:v>Pendente</x:v>
      </x:c>
      <x:c r="G6" s="14" t="str"/>
      <x:c r="H6" s="14" t="str">
        <x:v>Conforme risco hemorrágico/cirúrgico.</x:v>
      </x:c>
    </x:row>
    <x:row r="7" ht="45" customHeight="1">
      <x:c r="A7" s="14" t="str">
        <x:v>02</x:v>
      </x:c>
      <x:c r="B7" s="14" t="str">
        <x:v>José Gutemberg Rios Neto</x:v>
      </x:c>
      <x:c r="C7" s="14" t="str">
        <x:v>Imagem</x:v>
      </x:c>
      <x:c r="D7" s="14" t="str">
        <x:v>Nova TC crânio e TC tórax</x:v>
      </x:c>
      <x:c r="E7" s="14" t="str">
        <x:v>Alta</x:v>
      </x:c>
      <x:c r="F7" s="14" t="str">
        <x:v>Pendente</x:v>
      </x:c>
      <x:c r="G7" s="14" t="str"/>
      <x:c r="H7" s="14" t="str">
        <x:v>RNC + insuficiência respiratória.</x:v>
      </x:c>
    </x:row>
    <x:row r="8" ht="45" customHeight="1">
      <x:c r="A8" s="14" t="str">
        <x:v>02</x:v>
      </x:c>
      <x:c r="B8" s="14" t="str">
        <x:v>José Gutemberg Rios Neto</x:v>
      </x:c>
      <x:c r="C8" s="14" t="str">
        <x:v>Neuro</x:v>
      </x:c>
      <x:c r="D8" s="14" t="str">
        <x:v>EEG</x:v>
      </x:c>
      <x:c r="E8" s="14" t="str">
        <x:v>Alta</x:v>
      </x:c>
      <x:c r="F8" s="14" t="str">
        <x:v>Pendente</x:v>
      </x:c>
      <x:c r="G8" s="14" t="str"/>
      <x:c r="H8" s="14" t="str">
        <x:v>Crises epilépticas/RNC.</x:v>
      </x:c>
    </x:row>
    <x:row r="9" ht="45" customHeight="1">
      <x:c r="A9" s="14" t="str">
        <x:v>02</x:v>
      </x:c>
      <x:c r="B9" s="14" t="str">
        <x:v>José Gutemberg Rios Neto</x:v>
      </x:c>
      <x:c r="C9" s="14" t="str">
        <x:v>Infecção</x:v>
      </x:c>
      <x:c r="D9" s="14" t="str">
        <x:v>Hemoculturas + urinocultura</x:v>
      </x:c>
      <x:c r="E9" s="14" t="str">
        <x:v>Alta</x:v>
      </x:c>
      <x:c r="F9" s="14" t="str">
        <x:v>Pendente</x:v>
      </x:c>
      <x:c r="G9" s="14" t="str"/>
      <x:c r="H9" s="14" t="str">
        <x:v>Tazocin desde 19/05.</x:v>
      </x:c>
    </x:row>
    <x:row r="10" ht="45" customHeight="1">
      <x:c r="A10" s="14" t="str">
        <x:v>02</x:v>
      </x:c>
      <x:c r="B10" s="14" t="str">
        <x:v>José Gutemberg Rios Neto</x:v>
      </x:c>
      <x:c r="C10" s="14" t="str">
        <x:v>Cardio</x:v>
      </x:c>
      <x:c r="D10" s="14" t="str">
        <x:v>ECG e revisar ecocardiograma</x:v>
      </x:c>
      <x:c r="E10" s="14" t="str">
        <x:v>Média</x:v>
      </x:c>
      <x:c r="F10" s="14" t="str">
        <x:v>Pendente</x:v>
      </x:c>
      <x:c r="G10" s="14" t="str"/>
      <x:c r="H10" s="14" t="str">
        <x:v>FC até 120; congestão.</x:v>
      </x:c>
    </x:row>
    <x:row r="11" ht="45" customHeight="1">
      <x:c r="A11" s="14" t="str">
        <x:v>02</x:v>
      </x:c>
      <x:c r="B11" s="14" t="str">
        <x:v>José Gutemberg Rios Neto</x:v>
      </x:c>
      <x:c r="C11" s="14" t="str">
        <x:v>Gastro</x:v>
      </x:c>
      <x:c r="D11" s="14" t="str">
        <x:v>Avaliar clister por constipação</x:v>
      </x:c>
      <x:c r="E11" s="14" t="str">
        <x:v>Média</x:v>
      </x:c>
      <x:c r="F11" s="14" t="str">
        <x:v>Pendente</x:v>
      </x:c>
      <x:c r="G11" s="14" t="str"/>
      <x:c r="H11" s="14" t="str">
        <x:v>Sem evacuação desde admissão.</x:v>
      </x:c>
    </x:row>
    <x:row r="12" ht="45" customHeight="1">
      <x:c r="A12" s="14" t="str">
        <x:v>03</x:v>
      </x:c>
      <x:c r="B12" s="14" t="str">
        <x:v>Francisco Geracino de Souza</x:v>
      </x:c>
      <x:c r="C12" s="14" t="str">
        <x:v>Imagem</x:v>
      </x:c>
      <x:c r="D12" s="14" t="str">
        <x:v>TC crânio e tórax quando houver condição de transporte</x:v>
      </x:c>
      <x:c r="E12" s="14" t="str">
        <x:v>Alta</x:v>
      </x:c>
      <x:c r="F12" s="14" t="str">
        <x:v>Pendente</x:v>
      </x:c>
      <x:c r="G12" s="14" t="str"/>
      <x:c r="H12" s="14" t="str">
        <x:v>Paciente ainda sem condições de transporte.</x:v>
      </x:c>
    </x:row>
    <x:row r="13" ht="45" customHeight="1">
      <x:c r="A13" s="14" t="str">
        <x:v>03</x:v>
      </x:c>
      <x:c r="B13" s="14" t="str">
        <x:v>Francisco Geracino de Souza</x:v>
      </x:c>
      <x:c r="C13" s="14" t="str">
        <x:v>Torácica</x:v>
      </x:c>
      <x:c r="D13" s="14" t="str">
        <x:v>Cirurgia torácica avaliar dreno/aspiração após TC</x:v>
      </x:c>
      <x:c r="E13" s="14" t="str">
        <x:v>Alta</x:v>
      </x:c>
      <x:c r="F13" s="14" t="str">
        <x:v>Pendente</x:v>
      </x:c>
      <x:c r="G13" s="14" t="str"/>
      <x:c r="H13" s="14" t="str">
        <x:v>Fístula aérea alto débito.</x:v>
      </x:c>
    </x:row>
    <x:row r="14" ht="45" customHeight="1">
      <x:c r="A14" s="14" t="str">
        <x:v>03</x:v>
      </x:c>
      <x:c r="B14" s="14" t="str">
        <x:v>Francisco Geracino de Souza</x:v>
      </x:c>
      <x:c r="C14" s="14" t="str">
        <x:v>Infecção</x:v>
      </x:c>
      <x:c r="D14" s="14" t="str">
        <x:v>Reavaliar escalonamento ATB conforme culturas/evolução</x:v>
      </x:c>
      <x:c r="E14" s="14" t="str">
        <x:v>Alta</x:v>
      </x:c>
      <x:c r="F14" s="14" t="str">
        <x:v>Pendente</x:v>
      </x:c>
      <x:c r="G14" s="14" t="str"/>
      <x:c r="H14" s="14" t="str">
        <x:v>Febre e leucocitose persistente.</x:v>
      </x:c>
    </x:row>
    <x:row r="15" ht="45" customHeight="1">
      <x:c r="A15" s="14" t="str">
        <x:v>03</x:v>
      </x:c>
      <x:c r="B15" s="14" t="str">
        <x:v>Francisco Geracino de Souza</x:v>
      </x:c>
      <x:c r="C15" s="14" t="str">
        <x:v>Respiratório</x:v>
      </x:c>
      <x:c r="D15" s="14" t="str">
        <x:v>Monitorar oxigenação/fístula e tolerância ao desmame</x:v>
      </x:c>
      <x:c r="E15" s="14" t="str">
        <x:v>Alta</x:v>
      </x:c>
      <x:c r="F15" s="14" t="str">
        <x:v>Pendente</x:v>
      </x:c>
      <x:c r="G15" s="14" t="str"/>
      <x:c r="H15" s="14" t="str">
        <x:v>FiO₂ 80%.</x:v>
      </x:c>
    </x:row>
    <x:row r="16" ht="45" customHeight="1">
      <x:c r="A16" s="14" t="str">
        <x:v>04</x:v>
      </x:c>
      <x:c r="B16" s="14" t="str">
        <x:v>Expedito Antonio Silva Alves</x:v>
      </x:c>
      <x:c r="C16" s="14" t="str">
        <x:v>Paliativo</x:v>
      </x:c>
      <x:c r="D16" s="14" t="str">
        <x:v>Manter plano de conforto, não RCP/não DVA</x:v>
      </x:c>
      <x:c r="E16" s="14" t="str">
        <x:v>Crítica</x:v>
      </x:c>
      <x:c r="F16" s="14" t="str">
        <x:v>Pendente</x:v>
      </x:c>
      <x:c r="G16" s="14" t="str"/>
      <x:c r="H16" s="14" t="str">
        <x:v>Evitar distanásia.</x:v>
      </x:c>
    </x:row>
    <x:row r="17" ht="45" customHeight="1">
      <x:c r="A17" s="14" t="str">
        <x:v>04</x:v>
      </x:c>
      <x:c r="B17" s="14" t="str">
        <x:v>Expedito Antonio Silva Alves</x:v>
      </x:c>
      <x:c r="C17" s="14" t="str">
        <x:v>Sintomas</x:v>
      </x:c>
      <x:c r="D17" s="14" t="str">
        <x:v>Controle de dor, dispneia, secreções e agitação</x:v>
      </x:c>
      <x:c r="E17" s="14" t="str">
        <x:v>Alta</x:v>
      </x:c>
      <x:c r="F17" s="14" t="str">
        <x:v>Pendente</x:v>
      </x:c>
      <x:c r="G17" s="14" t="str"/>
      <x:c r="H17" s="14" t="str"/>
    </x:row>
    <x:row r="18" ht="45" customHeight="1">
      <x:c r="A18" s="14" t="str">
        <x:v>04</x:v>
      </x:c>
      <x:c r="B18" s="14" t="str">
        <x:v>Expedito Antonio Silva Alves</x:v>
      </x:c>
      <x:c r="C18" s="14" t="str">
        <x:v>Renal</x:v>
      </x:c>
      <x:c r="D18" s="14" t="str">
        <x:v>HD apenas conforme tolerância/plano de conforto</x:v>
      </x:c>
      <x:c r="E18" s="14" t="str">
        <x:v>Média</x:v>
      </x:c>
      <x:c r="F18" s="14" t="str">
        <x:v>Pendente</x:v>
      </x:c>
      <x:c r="G18" s="14" t="str"/>
      <x:c r="H18" s="14" t="str">
        <x:v>Sem DVA.</x:v>
      </x:c>
    </x:row>
    <x:row r="19" ht="45" customHeight="1">
      <x:c r="A19" s="14" t="str">
        <x:v>05</x:v>
      </x:c>
      <x:c r="B19" s="14" t="str">
        <x:v>Antonia da Cunha Frota</x:v>
      </x:c>
      <x:c r="C19" s="14" t="str">
        <x:v>Neuro</x:v>
      </x:c>
      <x:c r="D19" s="14" t="str">
        <x:v>EEG</x:v>
      </x:c>
      <x:c r="E19" s="14" t="str">
        <x:v>Alta</x:v>
      </x:c>
      <x:c r="F19" s="14" t="str">
        <x:v>Pendente</x:v>
      </x:c>
      <x:c r="G19" s="14" t="str"/>
      <x:c r="H19" s="14" t="str">
        <x:v>RNC sem sedação.</x:v>
      </x:c>
    </x:row>
    <x:row r="20" ht="45" customHeight="1">
      <x:c r="A20" s="14" t="str">
        <x:v>05</x:v>
      </x:c>
      <x:c r="B20" s="14" t="str">
        <x:v>Antonia da Cunha Frota</x:v>
      </x:c>
      <x:c r="C20" s="14" t="str">
        <x:v>Metabólico</x:v>
      </x:c>
      <x:c r="D20" s="14" t="str">
        <x:v>B12, TSH, T4L e investigação de causas reversíveis</x:v>
      </x:c>
      <x:c r="E20" s="14" t="str">
        <x:v>Alta</x:v>
      </x:c>
      <x:c r="F20" s="14" t="str">
        <x:v>Pendente</x:v>
      </x:c>
      <x:c r="G20" s="14" t="str"/>
      <x:c r="H20" s="14" t="str"/>
    </x:row>
    <x:row r="21" ht="45" customHeight="1">
      <x:c r="A21" s="14" t="str">
        <x:v>05</x:v>
      </x:c>
      <x:c r="B21" s="14" t="str">
        <x:v>Antonia da Cunha Frota</x:v>
      </x:c>
      <x:c r="C21" s="14" t="str">
        <x:v>Oftalmo</x:v>
      </x:c>
      <x:c r="D21" s="14" t="str">
        <x:v>Parecer oftalmologia</x:v>
      </x:c>
      <x:c r="E21" s="14" t="str">
        <x:v>Alta</x:v>
      </x:c>
      <x:c r="F21" s="14" t="str">
        <x:v>Pendente</x:v>
      </x:c>
      <x:c r="G21" s="14" t="str"/>
      <x:c r="H21" s="14" t="str">
        <x:v>Globo ocular/material denso.</x:v>
      </x:c>
    </x:row>
    <x:row r="22" ht="45" customHeight="1">
      <x:c r="A22" s="14" t="str">
        <x:v>05</x:v>
      </x:c>
      <x:c r="B22" s="14" t="str">
        <x:v>Antonia da Cunha Frota</x:v>
      </x:c>
      <x:c r="C22" s="14" t="str">
        <x:v>Culturas</x:v>
      </x:c>
      <x:c r="D22" s="14" t="str">
        <x:v>Acompanhar culturas e líquor de 20/05</x:v>
      </x:c>
      <x:c r="E22" s="14" t="str">
        <x:v>Alta</x:v>
      </x:c>
      <x:c r="F22" s="14" t="str">
        <x:v>Pendente</x:v>
      </x:c>
      <x:c r="G22" s="14" t="str"/>
      <x:c r="H22" s="14" t="str"/>
    </x:row>
    <x:row r="23" ht="45" customHeight="1">
      <x:c r="A23" s="14" t="str">
        <x:v>05</x:v>
      </x:c>
      <x:c r="B23" s="14" t="str">
        <x:v>Antonia da Cunha Frota</x:v>
      </x:c>
      <x:c r="C23" s="14" t="str">
        <x:v>Via aérea</x:v>
      </x:c>
      <x:c r="D23" s="14" t="str">
        <x:v>Avaliar TQT se persistir falha de despertar</x:v>
      </x:c>
      <x:c r="E23" s="14" t="str">
        <x:v>Média</x:v>
      </x:c>
      <x:c r="F23" s="14" t="str">
        <x:v>Pendente</x:v>
      </x:c>
      <x:c r="G23" s="14" t="str"/>
      <x:c r="H23" s="14" t="str"/>
    </x:row>
    <x:row r="24" ht="45" customHeight="1">
      <x:c r="A24" s="14" t="str">
        <x:v>05</x:v>
      </x:c>
      <x:c r="B24" s="14" t="str">
        <x:v>Antonia da Cunha Frota</x:v>
      </x:c>
      <x:c r="C24" s="14" t="str">
        <x:v>Infecção</x:v>
      </x:c>
      <x:c r="D24" s="14" t="str">
        <x:v>Se piora, discutir cobertura para mucormicose</x:v>
      </x:c>
      <x:c r="E24" s="14" t="str">
        <x:v>Alta</x:v>
      </x:c>
      <x:c r="F24" s="14" t="str">
        <x:v>Pendente</x:v>
      </x:c>
      <x:c r="G24" s="14" t="str"/>
      <x:c r="H24" s="14" t="str">
        <x:v>Conforme orientação da infectologia.</x:v>
      </x:c>
    </x:row>
    <x:row r="25" ht="45" customHeight="1">
      <x:c r="A25" s="14" t="str">
        <x:v>06</x:v>
      </x:c>
      <x:c r="B25" s="14" t="str">
        <x:v>Antonia Carla Silva de Oliveira</x:v>
      </x:c>
      <x:c r="C25" s="14" t="str">
        <x:v>Infecção</x:v>
      </x:c>
      <x:c r="D25" s="14" t="str">
        <x:v>Aguardar cultura do líquido pleural de 18/05</x:v>
      </x:c>
      <x:c r="E25" s="14" t="str">
        <x:v>Alta</x:v>
      </x:c>
      <x:c r="F25" s="14" t="str">
        <x:v>Pendente</x:v>
      </x:c>
      <x:c r="G25" s="14" t="str"/>
      <x:c r="H25" s="14" t="str">
        <x:v>Meropenem + vancomicina.</x:v>
      </x:c>
    </x:row>
    <x:row r="26" ht="45" customHeight="1">
      <x:c r="A26" s="14" t="str">
        <x:v>06</x:v>
      </x:c>
      <x:c r="B26" s="14" t="str">
        <x:v>Antonia Carla Silva de Oliveira</x:v>
      </x:c>
      <x:c r="C26" s="14" t="str">
        <x:v>Metabólico</x:v>
      </x:c>
      <x:c r="D26" s="14" t="str">
        <x:v>Controlar hipoglicemias e revisar esquema de insulina/aporte</x:v>
      </x:c>
      <x:c r="E26" s="14" t="str">
        <x:v>Alta</x:v>
      </x:c>
      <x:c r="F26" s="14" t="str">
        <x:v>Pendente</x:v>
      </x:c>
      <x:c r="G26" s="14" t="str"/>
      <x:c r="H26" s="14" t="str">
        <x:v>DM1 + DRC.</x:v>
      </x:c>
    </x:row>
    <x:row r="27" ht="45" customHeight="1">
      <x:c r="A27" s="14" t="str">
        <x:v>06</x:v>
      </x:c>
      <x:c r="B27" s="14" t="str">
        <x:v>Antonia Carla Silva de Oliveira</x:v>
      </x:c>
      <x:c r="C27" s="14" t="str">
        <x:v>Respiratório</x:v>
      </x:c>
      <x:c r="D27" s="14" t="str">
        <x:v>Acompanhamento radiológico por risco de pneumotórax</x:v>
      </x:c>
      <x:c r="E27" s="14" t="str">
        <x:v>Alta</x:v>
      </x:c>
      <x:c r="F27" s="14" t="str">
        <x:v>Pendente</x:v>
      </x:c>
      <x:c r="G27" s="14" t="str"/>
      <x:c r="H27" s="14" t="str">
        <x:v>Dreno deslocado/perdeu selo d’água.</x:v>
      </x:c>
    </x:row>
    <x:row r="28" ht="45" customHeight="1">
      <x:c r="A28" s="14" t="str">
        <x:v>06</x:v>
      </x:c>
      <x:c r="B28" s="14" t="str">
        <x:v>Antonia Carla Silva de Oliveira</x:v>
      </x:c>
      <x:c r="C28" s="14" t="str">
        <x:v>Renal</x:v>
      </x:c>
      <x:c r="D28" s="14" t="str">
        <x:v>Controle rigoroso de volume/necessidade de HD</x:v>
      </x:c>
      <x:c r="E28" s="14" t="str">
        <x:v>Alta</x:v>
      </x:c>
      <x:c r="F28" s="14" t="str">
        <x:v>Pendente</x:v>
      </x:c>
      <x:c r="G28" s="14" t="str"/>
      <x:c r="H28" s="14" t="str">
        <x:v>BH +1116.</x:v>
      </x:c>
    </x:row>
    <x:row r="29" ht="45" customHeight="1">
      <x:c r="A29" s="14" t="str">
        <x:v>06</x:v>
      </x:c>
      <x:c r="B29" s="14" t="str">
        <x:v>Antonia Carla Silva de Oliveira</x:v>
      </x:c>
      <x:c r="C29" s="14" t="str">
        <x:v>Transferência</x:v>
      </x:c>
      <x:c r="D29" s="14" t="str">
        <x:v>Atualizar transferência/avaliação HGF</x:v>
      </x:c>
      <x:c r="E29" s="14" t="str">
        <x:v>Média</x:v>
      </x:c>
      <x:c r="F29" s="14" t="str">
        <x:v>Pendente</x:v>
      </x:c>
      <x:c r="G29" s="14" t="str"/>
      <x:c r="H29" s="14" t="str">
        <x:v>Foco ortopédico crônico.</x:v>
      </x:c>
    </x:row>
    <x:row r="30" ht="45" customHeight="1">
      <x:c r="A30" s="14" t="str">
        <x:v>07</x:v>
      </x:c>
      <x:c r="B30" s="14" t="str">
        <x:v>Ricardo Apolinário Guilherme</x:v>
      </x:c>
      <x:c r="C30" s="14" t="str">
        <x:v>Procedimento</x:v>
      </x:c>
      <x:c r="D30" s="14" t="str">
        <x:v>Realizar TQT em 21/05 pela manhã</x:v>
      </x:c>
      <x:c r="E30" s="14" t="str">
        <x:v>Alta</x:v>
      </x:c>
      <x:c r="F30" s="14" t="str">
        <x:v>Pendente</x:v>
      </x:c>
      <x:c r="G30" s="14" t="str"/>
      <x:c r="H30" s="14" t="str">
        <x:v>Termo assinado; dieta zero.</x:v>
      </x:c>
    </x:row>
    <x:row r="31" ht="45" customHeight="1">
      <x:c r="A31" s="14" t="str">
        <x:v>07</x:v>
      </x:c>
      <x:c r="B31" s="14" t="str">
        <x:v>Ricardo Apolinário Guilherme</x:v>
      </x:c>
      <x:c r="C31" s="14" t="str">
        <x:v>Neurocirurgia</x:v>
      </x:c>
      <x:c r="D31" s="14" t="str">
        <x:v>Vigiar saída de líquor pela ferida operatória</x:v>
      </x:c>
      <x:c r="E31" s="14" t="str">
        <x:v>Alta</x:v>
      </x:c>
      <x:c r="F31" s="14" t="str">
        <x:v>Pendente</x:v>
      </x:c>
      <x:c r="G31" s="14" t="str"/>
      <x:c r="H31" s="14" t="str"/>
    </x:row>
    <x:row r="32" ht="45" customHeight="1">
      <x:c r="A32" s="14" t="str">
        <x:v>07</x:v>
      </x:c>
      <x:c r="B32" s="14" t="str">
        <x:v>Ricardo Apolinário Guilherme</x:v>
      </x:c>
      <x:c r="C32" s="14" t="str">
        <x:v>Oftalmo</x:v>
      </x:c>
      <x:c r="D32" s="14" t="str">
        <x:v>Parecer oftalmologia</x:v>
      </x:c>
      <x:c r="E32" s="14" t="str">
        <x:v>Média</x:v>
      </x:c>
      <x:c r="F32" s="14" t="str">
        <x:v>Pendente</x:v>
      </x:c>
      <x:c r="G32" s="14" t="str"/>
      <x:c r="H32" s="14" t="str"/>
    </x:row>
    <x:row r="33" ht="45" customHeight="1">
      <x:c r="A33" s="14" t="str">
        <x:v>07</x:v>
      </x:c>
      <x:c r="B33" s="14" t="str">
        <x:v>Ricardo Apolinário Guilherme</x:v>
      </x:c>
      <x:c r="C33" s="14" t="str">
        <x:v>Infecção/triagem</x:v>
      </x:c>
      <x:c r="D33" s="14" t="str">
        <x:v>Esclarecer sorologia HIV contraditória</x:v>
      </x:c>
      <x:c r="E33" s="14" t="str">
        <x:v>Média</x:v>
      </x:c>
      <x:c r="F33" s="14" t="str">
        <x:v>Pendente</x:v>
      </x:c>
      <x:c r="G33" s="14" t="str"/>
      <x:c r="H33" s="14" t="str"/>
    </x:row>
    <x:row r="34" ht="45" customHeight="1">
      <x:c r="A34" s="14" t="str">
        <x:v>07</x:v>
      </x:c>
      <x:c r="B34" s="14" t="str">
        <x:v>Ricardo Apolinário Guilherme</x:v>
      </x:c>
      <x:c r="C34" s="14" t="str">
        <x:v>TEV</x:v>
      </x:c>
      <x:c r="D34" s="14" t="str">
        <x:v>Reavaliar quimioprofilaxia TEV pós-procedimento</x:v>
      </x:c>
      <x:c r="E34" s="14" t="str">
        <x:v>Média</x:v>
      </x:c>
      <x:c r="F34" s="14" t="str">
        <x:v>Pendente</x:v>
      </x:c>
      <x:c r="G34" s="14" t="str"/>
      <x:c r="H34" s="14" t="str"/>
    </x:row>
    <x:row r="35" ht="45" customHeight="1">
      <x:c r="A35" s="14" t="str">
        <x:v>08</x:v>
      </x:c>
      <x:c r="B35" s="14" t="str">
        <x:v>José Galdêncio Reis</x:v>
      </x:c>
      <x:c r="C35" s="14" t="str">
        <x:v>Renal</x:v>
      </x:c>
      <x:c r="D35" s="14" t="str">
        <x:v>Realizar terapia dialítica indicada</x:v>
      </x:c>
      <x:c r="E35" s="14" t="str">
        <x:v>Crítica</x:v>
      </x:c>
      <x:c r="F35" s="14" t="str">
        <x:v>Pendente</x:v>
      </x:c>
      <x:c r="G35" s="14" t="str"/>
      <x:c r="H35" s="14" t="str">
        <x:v>Oligúria + BH +3732 + choque.</x:v>
      </x:c>
    </x:row>
    <x:row r="36" ht="45" customHeight="1">
      <x:c r="A36" s="14" t="str">
        <x:v>08</x:v>
      </x:c>
      <x:c r="B36" s="14" t="str">
        <x:v>José Galdêncio Reis</x:v>
      </x:c>
      <x:c r="C36" s="14" t="str">
        <x:v>Hemodinâmica</x:v>
      </x:c>
      <x:c r="D36" s="14" t="str">
        <x:v>Seguir desmame de DVA conforme tolerância</x:v>
      </x:c>
      <x:c r="E36" s="14" t="str">
        <x:v>Alta</x:v>
      </x:c>
      <x:c r="F36" s="14" t="str">
        <x:v>Pendente</x:v>
      </x:c>
      <x:c r="G36" s="14" t="str"/>
      <x:c r="H36" s="14" t="str">
        <x:v>Dupla vasopressão/choque.</x:v>
      </x:c>
    </x:row>
    <x:row r="37" ht="45" customHeight="1">
      <x:c r="A37" s="14" t="str">
        <x:v>08</x:v>
      </x:c>
      <x:c r="B37" s="14" t="str">
        <x:v>José Galdêncio Reis</x:v>
      </x:c>
      <x:c r="C37" s="14" t="str">
        <x:v>Gastro/Hemato</x:v>
      </x:c>
      <x:c r="D37" s="14" t="str">
        <x:v>Aguardar EDA e filtro de VCI</x:v>
      </x:c>
      <x:c r="E37" s="14" t="str">
        <x:v>Alta</x:v>
      </x:c>
      <x:c r="F37" s="14" t="str">
        <x:v>Pendente</x:v>
      </x:c>
      <x:c r="G37" s="14" t="str"/>
      <x:c r="H37" s="14" t="str">
        <x:v>Sangramento recorrente + TVP.</x:v>
      </x:c>
    </x:row>
    <x:row r="38" ht="45" customHeight="1">
      <x:c r="A38" s="14" t="str">
        <x:v>08</x:v>
      </x:c>
      <x:c r="B38" s="14" t="str">
        <x:v>José Galdêncio Reis</x:v>
      </x:c>
      <x:c r="C38" s="14" t="str">
        <x:v>Nutrição</x:v>
      </x:c>
      <x:c r="D38" s="14" t="str">
        <x:v>Retornar dieta se sem contraindicação</x:v>
      </x:c>
      <x:c r="E38" s="14" t="str">
        <x:v>Média</x:v>
      </x:c>
      <x:c r="F38" s="14" t="str">
        <x:v>Pendente</x:v>
      </x:c>
      <x:c r="G38" s="14" t="str"/>
      <x:c r="H38" s="14" t="str"/>
    </x:row>
    <x:row r="39" ht="45" customHeight="1">
      <x:c r="A39" s="14" t="str">
        <x:v>08</x:v>
      </x:c>
      <x:c r="B39" s="14" t="str">
        <x:v>José Galdêncio Reis</x:v>
      </x:c>
      <x:c r="C39" s="14" t="str">
        <x:v>Paliativo</x:v>
      </x:c>
      <x:c r="D39" s="14" t="str">
        <x:v>Manter cuidados proporcionais / não RCP</x:v>
      </x:c>
      <x:c r="E39" s="14" t="str">
        <x:v>Alta</x:v>
      </x:c>
      <x:c r="F39" s="14" t="str">
        <x:v>Pendente</x:v>
      </x:c>
      <x:c r="G39" s="14" t="str"/>
      <x:c r="H39" s="14" t="str">
        <x:v>Trial ATB/DVA/HD conforme resposta.</x:v>
      </x:c>
    </x:row>
    <x:row r="40" ht="45" customHeight="1">
      <x:c r="A40" s="14" t="str">
        <x:v>09</x:v>
      </x:c>
      <x:c r="B40" s="14" t="str">
        <x:v>Wilson Gomes Farias</x:v>
      </x:c>
      <x:c r="C40" s="14" t="str">
        <x:v>Controle de foco</x:v>
      </x:c>
      <x:c r="D40" s="14" t="str">
        <x:v>Definir drenagem por radiointervenção ou transferência HRN</x:v>
      </x:c>
      <x:c r="E40" s="14" t="str">
        <x:v>Crítica</x:v>
      </x:c>
      <x:c r="F40" s="14" t="str">
        <x:v>Pendente</x:v>
      </x:c>
      <x:c r="G40" s="14" t="str"/>
      <x:c r="H40" s="14" t="str">
        <x:v>Coleções volumosas/sepse.</x:v>
      </x:c>
    </x:row>
    <x:row r="41" ht="45" customHeight="1">
      <x:c r="A41" s="14" t="str">
        <x:v>09</x:v>
      </x:c>
      <x:c r="B41" s="14" t="str">
        <x:v>Wilson Gomes Farias</x:v>
      </x:c>
      <x:c r="C41" s="14" t="str">
        <x:v>Hematologia</x:v>
      </x:c>
      <x:c r="D41" s="14" t="str">
        <x:v>Parecer hematologia</x:v>
      </x:c>
      <x:c r="E41" s="14" t="str">
        <x:v>Alta</x:v>
      </x:c>
      <x:c r="F41" s="14" t="str">
        <x:v>Pendente</x:v>
      </x:c>
      <x:c r="G41" s="14" t="str"/>
      <x:c r="H41" s="14" t="str">
        <x:v>Anemia grave/sangramento.</x:v>
      </x:c>
    </x:row>
    <x:row r="42" ht="45" customHeight="1">
      <x:c r="A42" s="14" t="str">
        <x:v>09</x:v>
      </x:c>
      <x:c r="B42" s="14" t="str">
        <x:v>Wilson Gomes Farias</x:v>
      </x:c>
      <x:c r="C42" s="14" t="str">
        <x:v>TEV</x:v>
      </x:c>
      <x:c r="D42" s="14" t="str">
        <x:v>Filtro de VCI</x:v>
      </x:c>
      <x:c r="E42" s="14" t="str">
        <x:v>Alta</x:v>
      </x:c>
      <x:c r="F42" s="14" t="str">
        <x:v>Pendente</x:v>
      </x:c>
      <x:c r="G42" s="14" t="str"/>
      <x:c r="H42" s="14" t="str">
        <x:v>TVP bilateral sem anticoagulação.</x:v>
      </x:c>
    </x:row>
    <x:row r="43" ht="45" customHeight="1">
      <x:c r="A43" s="14" t="str">
        <x:v>09</x:v>
      </x:c>
      <x:c r="B43" s="14" t="str">
        <x:v>Wilson Gomes Farias</x:v>
      </x:c>
      <x:c r="C43" s="14" t="str">
        <x:v>Renal/acidose</x:v>
      </x:c>
      <x:c r="D43" s="14" t="str">
        <x:v>Seguir HD/controle acidose metabólica</x:v>
      </x:c>
      <x:c r="E43" s="14" t="str">
        <x:v>Alta</x:v>
      </x:c>
      <x:c r="F43" s="14" t="str">
        <x:v>Pendente</x:v>
      </x:c>
      <x:c r="G43" s="14" t="str"/>
      <x:c r="H43" s="14" t="str">
        <x:v>pH 7,24 / HCO3 7,5.</x:v>
      </x:c>
    </x:row>
    <x:row r="44" ht="45" customHeight="1">
      <x:c r="A44" s="14" t="str">
        <x:v>09</x:v>
      </x:c>
      <x:c r="B44" s="14" t="str">
        <x:v>Wilson Gomes Farias</x:v>
      </x:c>
      <x:c r="C44" s="14" t="str">
        <x:v>ATB</x:v>
      </x:c>
      <x:c r="D44" s="14" t="str">
        <x:v>Trocar teicoplanina por vancomicina conforme orientação</x:v>
      </x:c>
      <x:c r="E44" s="14" t="str">
        <x:v>Alta</x:v>
      </x:c>
      <x:c r="F44" s="14" t="str">
        <x:v>Pendente</x:v>
      </x:c>
      <x:c r="G44" s="14" t="str"/>
      <x:c r="H44" s="14" t="str">
        <x:v>Culturas de 20/05.</x:v>
      </x:c>
    </x:row>
    <x:row r="45" ht="45" customHeight="1">
      <x:c r="A45" s="14" t="str">
        <x:v>10</x:v>
      </x:c>
      <x:c r="B45" s="14" t="str">
        <x:v>Luiz Ferre Soares</x:v>
      </x:c>
      <x:c r="C45" s="14" t="str">
        <x:v>Imagem</x:v>
      </x:c>
      <x:c r="D45" s="14" t="str">
        <x:v>Nova TC de crânio por deterioração clínica</x:v>
      </x:c>
      <x:c r="E45" s="14" t="str">
        <x:v>Crítica</x:v>
      </x:c>
      <x:c r="F45" s="14" t="str">
        <x:v>Pendente</x:v>
      </x:c>
      <x:c r="G45" s="14" t="str"/>
      <x:c r="H45" s="14" t="str">
        <x:v>TCE grave + piora.</x:v>
      </x:c>
    </x:row>
    <x:row r="46" ht="45" customHeight="1">
      <x:c r="A46" s="14" t="str">
        <x:v>10</x:v>
      </x:c>
      <x:c r="B46" s="14" t="str">
        <x:v>Luiz Ferre Soares</x:v>
      </x:c>
      <x:c r="C46" s="14" t="str">
        <x:v>Via aérea</x:v>
      </x:c>
      <x:c r="D46" s="14" t="str">
        <x:v>Avaliar traqueostomia</x:v>
      </x:c>
      <x:c r="E46" s="14" t="str">
        <x:v>Alta</x:v>
      </x:c>
      <x:c r="F46" s="14" t="str">
        <x:v>Pendente</x:v>
      </x:c>
      <x:c r="G46" s="14" t="str"/>
      <x:c r="H46" s="14" t="str">
        <x:v>Falha de extubação + VM prolongada.</x:v>
      </x:c>
    </x:row>
    <x:row r="47" ht="45" customHeight="1">
      <x:c r="A47" s="14" t="str">
        <x:v>10</x:v>
      </x:c>
      <x:c r="B47" s="14" t="str">
        <x:v>Luiz Ferre Soares</x:v>
      </x:c>
      <x:c r="C47" s="14" t="str">
        <x:v>Neuro</x:v>
      </x:c>
      <x:c r="D47" s="14" t="str">
        <x:v>Avaliar crise convulsiva/EEG se disponível</x:v>
      </x:c>
      <x:c r="E47" s="14" t="str">
        <x:v>Alta</x:v>
      </x:c>
      <x:c r="F47" s="14" t="str">
        <x:v>Pendente</x:v>
      </x:c>
      <x:c r="G47" s="14" t="str"/>
      <x:c r="H47" s="14" t="str">
        <x:v>Hidantalização; fenitoína + levetiracetam.</x:v>
      </x:c>
    </x:row>
    <x:row r="48" ht="45" customHeight="1">
      <x:c r="A48" s="14" t="str">
        <x:v>10</x:v>
      </x:c>
      <x:c r="B48" s="14" t="str">
        <x:v>Luiz Ferre Soares</x:v>
      </x:c>
      <x:c r="C48" s="14" t="str">
        <x:v>Urologia</x:v>
      </x:c>
      <x:c r="D48" s="14" t="str">
        <x:v>Manter irrigação vesical contínua por 7 dias e vigiar hematúria</x:v>
      </x:c>
      <x:c r="E48" s="14" t="str">
        <x:v>Alta</x:v>
      </x:c>
      <x:c r="F48" s="14" t="str">
        <x:v>Pendente</x:v>
      </x:c>
      <x:c r="G48" s="14" t="str"/>
      <x:c r="H48" s="14" t="str">
        <x:v>Trauma SVD/HBP.</x:v>
      </x:c>
    </x:row>
    <x:row r="49" ht="45" customHeight="1">
      <x:c r="A49" s="14" t="str">
        <x:v>10</x:v>
      </x:c>
      <x:c r="B49" s="14" t="str">
        <x:v>Luiz Ferre Soares</x:v>
      </x:c>
      <x:c r="C49" s="14" t="str">
        <x:v>Infecção</x:v>
      </x:c>
      <x:c r="D49" s="14" t="str">
        <x:v>Acompanhar aspirado traqueal e hemoculturas</x:v>
      </x:c>
      <x:c r="E49" s="14" t="str">
        <x:v>Média</x:v>
      </x:c>
      <x:c r="F49" s="14" t="str">
        <x:v>Pendente</x:v>
      </x:c>
      <x:c r="G49" s="14" t="str"/>
      <x:c r="H49" s="14" t="str">
        <x:v>Tazocin desde 18/05.</x:v>
      </x:c>
    </x:row>
  </x:sheetData>
  <x:conditionalFormatting sqref="E2:E49">
    <x:cfRule type="expression" dxfId="4" priority="1">
      <x:formula>$E2="Crítica"</x:formula>
    </x:cfRule>
    <x:cfRule type="expression" dxfId="5" priority="2">
      <x:formula>$E2="Alta"</x:formula>
    </x:cfRule>
  </x:conditionalFormatting>
  <x:conditionalFormatting sqref="F2:F49">
    <x:cfRule type="expression" dxfId="6" priority="3">
      <x:formula>$F2="Concluído"</x:formula>
    </x:cfRule>
  </x:conditionalFormatting>
  <x:dataValidations count="2">
    <x:dataValidation type="list" sqref="E2:E49">
      <x:formula1>"Crítica,Alta,Média,Baixa"</x:formula1>
    </x:dataValidation>
    <x:dataValidation type="list" sqref="F2:F49">
      <x:formula1>"Pendente,Em andamento,Concluído,Suspenso,Não se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185f4eb57d403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2" hidden="0" customWidth="1"/>
    <x:col min="4" max="4" width="38" hidden="0" customWidth="1"/>
    <x:col min="5" max="5" width="18" hidden="0" customWidth="1"/>
    <x:col min="6" max="6" width="38" hidden="0" customWidth="1"/>
    <x:col min="7" max="7" width="42" hidden="0" customWidth="1"/>
  </x:cols>
  <x:sheetData>
    <x:row r="1" ht="32" customHeight="1">
      <x:c r="A1" s="6" t="str">
        <x:v>Leito</x:v>
      </x:c>
      <x:c r="B1" s="6" t="str">
        <x:v>Paciente</x:v>
      </x:c>
      <x:c r="C1" s="6" t="str">
        <x:v>Foco provável / problema infeccioso</x:v>
      </x:c>
      <x:c r="D1" s="6" t="str">
        <x:v>ATB / antimicrobianos atuais</x:v>
      </x:c>
      <x:c r="E1" s="6" t="str">
        <x:v>Início informado</x:v>
      </x:c>
      <x:c r="F1" s="6" t="str">
        <x:v>Culturas / exames</x:v>
      </x:c>
      <x:c r="G1" s="6" t="str">
        <x:v>Ponto de atenção</x:v>
      </x:c>
    </x:row>
    <x:row r="2" ht="55" customHeight="1">
      <x:c r="A2" s="14" t="str">
        <x:v>01</x:v>
      </x:c>
      <x:c r="B2" s="14" t="str">
        <x:v>Wayne Balbino</x:v>
      </x:c>
      <x:c r="C2" s="14" t="str">
        <x:v>Trauma pós-operatório; sem foco infeccioso destacado</x:v>
      </x:c>
      <x:c r="D2" s="14" t="str">
        <x:v>Não informado / reavaliar profilaxia</x:v>
      </x:c>
      <x:c r="E2" s="14" t="str">
        <x:v>—</x:v>
      </x:c>
      <x:c r="F2" s="14" t="str">
        <x:v>—</x:v>
      </x:c>
      <x:c r="G2" s="14" t="str">
        <x:v>Monitorar febre, Hb, drenos e risco de infecção intra-abdominal/pleural.</x:v>
      </x:c>
    </x:row>
    <x:row r="3" ht="55" customHeight="1">
      <x:c r="A3" s="14" t="str">
        <x:v>02</x:v>
      </x:c>
      <x:c r="B3" s="14" t="str">
        <x:v>José Gutemberg Rios Neto</x:v>
      </x:c>
      <x:c r="C3" s="14" t="str">
        <x:v>Pulmonar/urinário? RNC + congestão/IRp</x:v>
      </x:c>
      <x:c r="D3" s="14" t="str">
        <x:v>Piperacilina-tazobactam</x:v>
      </x:c>
      <x:c r="E3" s="14" t="str">
        <x:v>19/05</x:v>
      </x:c>
      <x:c r="F3" s="14" t="str">
        <x:v>HMC/urocultura solicitadas; EAS com leucócitos/hematúria</x:v>
      </x:c>
      <x:c r="G3" s="14" t="str">
        <x:v>Reavaliar após imagem/culturas.</x:v>
      </x:c>
    </x:row>
    <x:row r="4" ht="55" customHeight="1">
      <x:c r="A4" s="14" t="str">
        <x:v>03</x:v>
      </x:c>
      <x:c r="B4" s="14" t="str">
        <x:v>Francisco Geracino de Souza</x:v>
      </x:c>
      <x:c r="C4" s="14" t="str">
        <x:v>Choque séptico provável pulmonar/urinário</x:v>
      </x:c>
      <x:c r="D4" s="14" t="str">
        <x:v>Piperacilina-tazobactam</x:v>
      </x:c>
      <x:c r="E4" s="14" t="str">
        <x:v>06/05</x:v>
      </x:c>
      <x:c r="F4" s="14" t="str">
        <x:v>HMC 06/05 negativas; novo rastreio 19/05</x:v>
      </x:c>
      <x:c r="G4" s="14" t="str">
        <x:v>Leucocitose/febre; discutir escalonamento conforme culturas/instabilidade.</x:v>
      </x:c>
    </x:row>
    <x:row r="5" ht="55" customHeight="1">
      <x:c r="A5" s="14" t="str">
        <x:v>04</x:v>
      </x:c>
      <x:c r="B5" s="14" t="str">
        <x:v>Expedito Antonio Silva Alves</x:v>
      </x:c>
      <x:c r="C5" s="14" t="str">
        <x:v>IPCS por Acinetobacter baumannii MDR</x:v>
      </x:c>
      <x:c r="D5" s="14" t="str">
        <x:v>ATB suspenso por paliativo exclusivo</x:v>
      </x:c>
      <x:c r="E5" s="14" t="str">
        <x:v>—</x:v>
      </x:c>
      <x:c r="F5" s="14" t="str">
        <x:v>—</x:v>
      </x:c>
      <x:c r="G5" s="14" t="str">
        <x:v>Plano de conforto; evitar reinício fora dos objetivos acordados.</x:v>
      </x:c>
    </x:row>
    <x:row r="6" ht="55" customHeight="1">
      <x:c r="A6" s="14" t="str">
        <x:v>05</x:v>
      </x:c>
      <x:c r="B6" s="14" t="str">
        <x:v>Antonia da Cunha Frota</x:v>
      </x:c>
      <x:c r="C6" s="14" t="str">
        <x:v>Rinossinusal/orbitário? RNC persistente</x:v>
      </x:c>
      <x:c r="D6" s="14" t="str">
        <x:v>Piperacilina-tazobactam + vancomicina</x:v>
      </x:c>
      <x:c r="E6" s="14" t="str">
        <x:v>19/05</x:v>
      </x:c>
      <x:c r="F6" s="14" t="str">
        <x:v>Líquor 20/05; culturas pendentes</x:v>
      </x:c>
      <x:c r="G6" s="14" t="str">
        <x:v>Se piora, discutir cobertura para mucormicose.</x:v>
      </x:c>
    </x:row>
    <x:row r="7" ht="55" customHeight="1">
      <x:c r="A7" s="14" t="str">
        <x:v>06</x:v>
      </x:c>
      <x:c r="B7" s="14" t="str">
        <x:v>Antonia Carla Silva de Oliveira</x:v>
      </x:c>
      <x:c r="C7" s="14" t="str">
        <x:v>Parapneumônico/pleural + sítio cirúrgico MID</x:v>
      </x:c>
      <x:c r="D7" s="14" t="str">
        <x:v>Meropenem + vancomicina</x:v>
      </x:c>
      <x:c r="E7" s="14" t="str">
        <x:v>11/05</x:v>
      </x:c>
      <x:c r="F7" s="14" t="str">
        <x:v>Cultura líquido pleural 18/05 pendente</x:v>
      </x:c>
      <x:c r="G7" s="14" t="str">
        <x:v>Ajustar por HD/função renal e culturas.</x:v>
      </x:c>
    </x:row>
    <x:row r="8" ht="55" customHeight="1">
      <x:c r="A8" s="14" t="str">
        <x:v>07</x:v>
      </x:c>
      <x:c r="B8" s="14" t="str">
        <x:v>Ricardo Apolinário Guilherme</x:v>
      </x:c>
      <x:c r="C8" s="14" t="str">
        <x:v>Pós-operatório neurotrauma; sem foco atual destacado</x:v>
      </x:c>
      <x:c r="D8" s="14" t="str">
        <x:v>Clindamicina encerrada</x:v>
      </x:c>
      <x:c r="E8" s="14" t="str">
        <x:v>10/05–15/05</x:v>
      </x:c>
      <x:c r="F8" s="14" t="str">
        <x:v>—</x:v>
      </x:c>
      <x:c r="G8" s="14" t="str">
        <x:v>Vigiar ferida/fístula liquórica e febre.</x:v>
      </x:c>
    </x:row>
    <x:row r="9" ht="55" customHeight="1">
      <x:c r="A9" s="14" t="str">
        <x:v>08</x:v>
      </x:c>
      <x:c r="B9" s="14" t="str">
        <x:v>José Galdêncio Reis</x:v>
      </x:c>
      <x:c r="C9" s="14" t="str">
        <x:v>Osteomielite/TB óssea/abscesso + choque séptico</x:v>
      </x:c>
      <x:c r="D9" s="14" t="str">
        <x:v>RIPE + teicoplanina + meropenem + polimixina B</x:v>
      </x:c>
      <x:c r="E9" s="14" t="str">
        <x:v>RIPE 30/04; outros não detalhados</x:v>
      </x:c>
      <x:c r="F9" s="14" t="str">
        <x:v>EDA/filtro VCI pendentes; culturas não detalhadas</x:v>
      </x:c>
      <x:c r="G9" s="14" t="str">
        <x:v>Toxicidade renal/HD; reavaliar proporcionalidade e culturas.</x:v>
      </x:c>
    </x:row>
    <x:row r="10" ht="55" customHeight="1">
      <x:c r="A10" s="14" t="str">
        <x:v>09</x:v>
      </x:c>
      <x:c r="B10" s="14" t="str">
        <x:v>Wilson Gomes Farias</x:v>
      </x:c>
      <x:c r="C10" s="14" t="str">
        <x:v>Sepse abdominal/osteoarticular com coleções volumosas</x:v>
      </x:c>
      <x:c r="D10" s="14" t="str">
        <x:v>Meropenem + teicoplanina → trocar por vancomicina</x:v>
      </x:c>
      <x:c r="E10" s="14" t="str">
        <x:v>Mero 15/05; Teico 06/05</x:v>
      </x:c>
      <x:c r="F10" s="14" t="str">
        <x:v>HMC 15/05 parcialmente negativas; novas culturas 20/05</x:v>
      </x:c>
      <x:c r="G10" s="14" t="str">
        <x:v>Controle de foco é crítico; ajustar ATB à HD/culturas.</x:v>
      </x:c>
    </x:row>
    <x:row r="11" ht="55" customHeight="1">
      <x:c r="A11" s="14" t="str">
        <x:v>10</x:v>
      </x:c>
      <x:c r="B11" s="14" t="str">
        <x:v>Luiz Ferre Soares</x:v>
      </x:c>
      <x:c r="C11" s="14" t="str">
        <x:v>Pulmonar/aspirado? TCE VM prolongada</x:v>
      </x:c>
      <x:c r="D11" s="14" t="str">
        <x:v>Piperacilina-tazobactam</x:v>
      </x:c>
      <x:c r="E11" s="14" t="str">
        <x:v>18/05</x:v>
      </x:c>
      <x:c r="F11" s="14" t="str">
        <x:v>Aspirado traqueal + HMC pendentes</x:v>
      </x:c>
      <x:c r="G11" s="14" t="str">
        <x:v>Afebril; reavaliar conforme culturas/imagem.</x:v>
      </x:c>
    </x:row>
  </x:sheetData>
  <x:pageMargins left="0.7" right="0.7" top="0.75" bottom="0.75" header="0.3" footer="0.3"/>
  <x:tableParts count="1">
    <x:tablePart xmlns:r="http://schemas.openxmlformats.org/officeDocument/2006/relationships" r:id="R80c4bb377bd34fd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28" hidden="0" customWidth="1"/>
    <x:col min="4" max="4" width="30" hidden="0" customWidth="1"/>
    <x:col min="5" max="5" width="32" hidden="0" customWidth="1"/>
    <x:col min="6" max="6" width="28" hidden="0" customWidth="1"/>
    <x:col min="7" max="7" width="28" hidden="0" customWidth="1"/>
    <x:col min="8" max="8" width="40" hidden="0" customWidth="1"/>
  </x:cols>
  <x:sheetData>
    <x:row r="1" ht="32" customHeight="1">
      <x:c r="A1" s="6" t="str">
        <x:v>Leito</x:v>
      </x:c>
      <x:c r="B1" s="6" t="str">
        <x:v>Via aérea / O2</x:v>
      </x:c>
      <x:c r="C1" s="6" t="str">
        <x:v>Modo / suporte</x:v>
      </x:c>
      <x:c r="D1" s="6" t="str">
        <x:v>DVA / sedação / BNM</x:v>
      </x:c>
      <x:c r="E1" s="6" t="str">
        <x:v>Acessos / drenos / SVD</x:v>
      </x:c>
      <x:c r="F1" s="6" t="str">
        <x:v>Diálise / renal</x:v>
      </x:c>
      <x:c r="G1" s="6" t="str">
        <x:v>Nutrição / glicemia</x:v>
      </x:c>
      <x:c r="H1" s="6" t="str">
        <x:v>Observações críticas</x:v>
      </x:c>
    </x:row>
    <x:row r="2" ht="55" customHeight="1">
      <x:c r="A2" s="14" t="str">
        <x:v>01</x:v>
      </x:c>
      <x:c r="B2" s="14" t="str">
        <x:v>TOT/VM</x:v>
      </x:c>
      <x:c r="C2" s="14" t="str">
        <x:v>Desmame cauteloso</x:v>
      </x:c>
      <x:c r="D2" s="14" t="str">
        <x:v>Sedação em desmame; sem DVA</x:v>
      </x:c>
      <x:c r="E2" s="14" t="str">
        <x:v>Dreno torácico E; dreno abdominal; sonda a checar</x:v>
      </x:c>
      <x:c r="F2" s="14" t="str">
        <x:v>IRA com HD indicada 20/05</x:v>
      </x:c>
      <x:c r="G2" s="14" t="str">
        <x:v>Liberar dieta após checar sonda</x:v>
      </x:c>
      <x:c r="H2" s="14" t="str">
        <x:v>Trauma abdominal/torácico pós-FAF.</x:v>
      </x:c>
    </x:row>
    <x:row r="3" ht="55" customHeight="1">
      <x:c r="A3" s="14" t="str">
        <x:v>02</x:v>
      </x:c>
      <x:c r="B3" s="14" t="str">
        <x:v>TOT/VM</x:v>
      </x:c>
      <x:c r="C3" s="14" t="str">
        <x:v>IOT por RNC + IRp</x:v>
      </x:c>
      <x:c r="D3" s="14" t="str">
        <x:v>Sem DVA</x:v>
      </x:c>
      <x:c r="E3" s="14" t="str">
        <x:v>SVD desde 19/05</x:v>
      </x:c>
      <x:c r="F3" s="14" t="str">
        <x:v>Sem HD</x:v>
      </x:c>
      <x:c r="G3" s="14" t="str">
        <x:v>Constipação; avaliar clister</x:v>
      </x:c>
      <x:c r="H3" s="14" t="str">
        <x:v>Pendência neuroimagem/EEG.</x:v>
      </x:c>
    </x:row>
    <x:row r="4" ht="55" customHeight="1">
      <x:c r="A4" s="14" t="str">
        <x:v>03</x:v>
      </x:c>
      <x:c r="B4" s="14" t="str">
        <x:v>TOT/VM</x:v>
      </x:c>
      <x:c r="C4" s="14" t="str">
        <x:v>PCV FiO₂ 80%, PEEP 3, FR 21, Pinsp 12</x:v>
      </x:c>
      <x:c r="D4" s="14" t="str">
        <x:v>Noradrenalina 3 mL/h</x:v>
      </x:c>
      <x:c r="E4" s="14" t="str">
        <x:v>Dreno torácico D em aspiração contínua</x:v>
      </x:c>
      <x:c r="F4" s="14" t="str">
        <x:v>Azotemia, sem HD descrita</x:v>
      </x:c>
      <x:c r="G4" s="14" t="str">
        <x:v>—</x:v>
      </x:c>
      <x:c r="H4" s="14" t="str">
        <x:v>Fístula aérea alto débito; transporte para TC limitado.</x:v>
      </x:c>
    </x:row>
    <x:row r="5" ht="55" customHeight="1">
      <x:c r="A5" s="14" t="str">
        <x:v>04</x:v>
      </x:c>
      <x:c r="B5" s="14" t="str">
        <x:v>TOT/VM</x:v>
      </x:c>
      <x:c r="C5" s="14" t="str">
        <x:v>PSV FiO₂ 21%, PEEP 5</x:v>
      </x:c>
      <x:c r="D5" s="14" t="str">
        <x:v>Sem sedação; sem DVA; não reintroduzir DVA</x:v>
      </x:c>
      <x:c r="E5" s="14" t="str">
        <x:v>Acesso HD; TOT</x:v>
      </x:c>
      <x:c r="F5" s="14" t="str">
        <x:v>DRC dialítico; HD conforme tolerância</x:v>
      </x:c>
      <x:c r="G5" s="14" t="str">
        <x:v>Conforto</x:v>
      </x:c>
      <x:c r="H5" s="14" t="str">
        <x:v>Cuidados paliativos exclusivos; não RCP.</x:v>
      </x:c>
    </x:row>
    <x:row r="6" ht="55" customHeight="1">
      <x:c r="A6" s="14" t="str">
        <x:v>05</x:v>
      </x:c>
      <x:c r="B6" s="14" t="str">
        <x:v>TOT/VM</x:v>
      </x:c>
      <x:c r="C6" s="14" t="str">
        <x:v>CPAP + PSV FiO₂ 30%, PEEP 5</x:v>
      </x:c>
      <x:c r="D6" s="14" t="str">
        <x:v>Sem sedoanalgesia; sem DVA</x:v>
      </x:c>
      <x:c r="E6" s="14" t="str">
        <x:v>SVD</x:v>
      </x:c>
      <x:c r="F6" s="14" t="str">
        <x:v>Função renal preservada</x:v>
      </x:c>
      <x:c r="G6" s="14" t="str">
        <x:v>Dieta enteral; hiperglicemia, ajuste NPH</x:v>
      </x:c>
      <x:c r="H6" s="14" t="str">
        <x:v>RNC persistente; considerar TQT.</x:v>
      </x:c>
    </x:row>
    <x:row r="7" ht="55" customHeight="1">
      <x:c r="A7" s="14" t="str">
        <x:v>06</x:v>
      </x:c>
      <x:c r="B7" s="14" t="str">
        <x:v>CN 1 L/min</x:v>
      </x:c>
      <x:c r="C7" s="14" t="str">
        <x:v>Baixo fluxo</x:v>
      </x:c>
      <x:c r="D7" s="14" t="str">
        <x:v>Sem DVA</x:v>
      </x:c>
      <x:c r="E7" s="14" t="str">
        <x:v>CVC; dreno torácico deslocado/perdeu selo d'água</x:v>
      </x:c>
      <x:c r="F7" s="14" t="str">
        <x:v>DRC dialítica; HD 20/05</x:v>
      </x:c>
      <x:c r="G7" s="14" t="str">
        <x:v>Hipoglicemias; aporte calórico</x:v>
      </x:c>
      <x:c r="H7" s="14" t="str">
        <x:v>RX seriado por risco de pneumotórax.</x:v>
      </x:c>
    </x:row>
    <x:row r="8" ht="55" customHeight="1">
      <x:c r="A8" s="14" t="str">
        <x:v>07</x:v>
      </x:c>
      <x:c r="B8" s="14" t="str">
        <x:v>TOT/VM</x:v>
      </x:c>
      <x:c r="C8" s="14" t="str">
        <x:v>Não tolera desmame; TQT 21/05</x:v>
      </x:c>
      <x:c r="D8" s="14" t="str">
        <x:v>Sedoanalgesia + BNM; sem DVA</x:v>
      </x:c>
      <x:c r="E8" s="14" t="str">
        <x:v>Ferida neurocirúrgica; dieta zero</x:v>
      </x:c>
      <x:c r="F8" s="14" t="str">
        <x:v>Função renal recuperada pós-rabdomiólise</x:v>
      </x:c>
      <x:c r="G8" s="14" t="str">
        <x:v>Dieta zero pré-TQT</x:v>
      </x:c>
      <x:c r="H8" s="14" t="str">
        <x:v>Vigiar líquor.</x:v>
      </x:c>
    </x:row>
    <x:row r="9" ht="55" customHeight="1">
      <x:c r="A9" s="14" t="str">
        <x:v>08</x:v>
      </x:c>
      <x:c r="B9" s="14" t="str">
        <x:v>TOT/VM</x:v>
      </x:c>
      <x:c r="C9" s="14" t="str">
        <x:v>Suporte avançado</x:v>
      </x:c>
      <x:c r="D9" s="14" t="str">
        <x:v>Noradrenalina + vasopressina; azul de metileno prévio</x:v>
      </x:c>
      <x:c r="E9" s="14" t="str">
        <x:v>—</x:v>
      </x:c>
      <x:c r="F9" s="14" t="str">
        <x:v>HD indicada/pendente; oligúria</x:v>
      </x:c>
      <x:c r="G9" s="14" t="str">
        <x:v>Retornar dieta</x:v>
      </x:c>
      <x:c r="H9" s="14" t="str">
        <x:v>Cuidados proporcionais; não RCP.</x:v>
      </x:c>
    </x:row>
    <x:row r="10" ht="55" customHeight="1">
      <x:c r="A10" s="14" t="str">
        <x:v>09</x:v>
      </x:c>
      <x:c r="B10" s="14" t="str">
        <x:v>Sem VM descrita</x:v>
      </x:c>
      <x:c r="C10" s="14" t="str">
        <x:v>—</x:v>
      </x:c>
      <x:c r="D10" s="14" t="str">
        <x:v>DVA não descrita</x:v>
      </x:c>
      <x:c r="E10" s="14" t="str">
        <x:v>Coleções volumosas; sangramento/hematúria</x:v>
      </x:c>
      <x:c r="F10" s="14" t="str">
        <x:v>DRC dialítico; HD urgente realizada</x:v>
      </x:c>
      <x:c r="G10" s="14" t="str">
        <x:v>—</x:v>
      </x:c>
      <x:c r="H10" s="14" t="str">
        <x:v>Controle de foco/hematologia/filtro VCI.</x:v>
      </x:c>
    </x:row>
    <x:row r="11" ht="55" customHeight="1">
      <x:c r="A11" s="14" t="str">
        <x:v>10</x:v>
      </x:c>
      <x:c r="B11" s="14" t="str">
        <x:v>TOT/VM</x:v>
      </x:c>
      <x:c r="C11" s="14" t="str">
        <x:v>VM + BNM por desconforto/hipoxemia</x:v>
      </x:c>
      <x:c r="D11" s="14" t="str">
        <x:v>RASS -5; propofol/opioide; BNM; sem DVA</x:v>
      </x:c>
      <x:c r="E11" s="14" t="str">
        <x:v>SVD com irrigação vesical contínua</x:v>
      </x:c>
      <x:c r="F11" s="14" t="str">
        <x:v>Sem disfunção renal destacada</x:v>
      </x:c>
      <x:c r="G11" s="14" t="str">
        <x:v>—</x:v>
      </x:c>
      <x:c r="H11" s="14" t="str">
        <x:v>TC crânio e avaliar TQT.</x:v>
      </x:c>
    </x:row>
  </x:sheetData>
  <x:pageMargins left="0.7" right="0.7" top="0.75" bottom="0.75" header="0.3" footer="0.3"/>
  <x:tableParts count="1">
    <x:tablePart xmlns:r="http://schemas.openxmlformats.org/officeDocument/2006/relationships" r:id="Rf919e5c3b547431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 ht="38" customHeight="1">
      <x:c r="A1" s="6" t="str">
        <x:v>Campo</x:v>
      </x:c>
      <x:c r="B1" s="6" t="str">
        <x:v>Conteúdo</x:v>
      </x:c>
    </x:row>
    <x:row r="2" ht="38" customHeight="1">
      <x:c r="A2" s="12" t="str">
        <x:v>Unidade</x:v>
      </x:c>
      <x:c r="B2" s="12" t="str">
        <x:v>UTI Adulto 2 - Santa Casa de Misericórdia de Sobral</x:v>
      </x:c>
    </x:row>
    <x:row r="3" ht="38" customHeight="1">
      <x:c r="A3" s="12" t="str">
        <x:v>Data base</x:v>
      </x:c>
      <x:c r="B3" s="12" t="str">
        <x:v>20/05/2026</x:v>
      </x:c>
    </x:row>
    <x:row r="4" ht="38" customHeight="1">
      <x:c r="A4" s="12" t="str">
        <x:v>Origem</x:v>
      </x:c>
      <x:c r="B4" s="12" t="str">
        <x:v>Texto colado pelo usuário nesta conversa: Texto colado(11).txt</x:v>
      </x:c>
    </x:row>
    <x:row r="5" ht="38" customHeight="1">
      <x:c r="A5" s="12" t="str">
        <x:v>Observação de segurança</x:v>
      </x:c>
      <x:c r="B5" s="12" t="str">
        <x:v>Planilha contém dados clínicos identificáveis. Recomenda-se manter em ambiente seguro e usar conforme normas institucionais/LGPD.</x:v>
      </x:c>
    </x:row>
    <x:row r="6" ht="38" customHeight="1">
      <x:c r="A6" s="12" t="str">
        <x:v>Limitação</x:v>
      </x:c>
      <x:c r="B6" s="12" t="str">
        <x:v>A planilha organiza a passagem conforme texto fornecido; deve ser revisada pelo médico assistente antes do uso assistencial.</x:v>
      </x:c>
    </x:row>
  </x:sheetData>
  <x:pageMargins left="0.7" right="0.7" top="0.75" bottom="0.75" header="0.3" footer="0.3"/>
</x:worksheet>
</file>