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51C6EC-CDE3-4466-AAB0-9BC065445E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1_Premissas" sheetId="1" r:id="rId1"/>
    <sheet name="2_DRE_Moderado" sheetId="2" r:id="rId2"/>
    <sheet name="3_Comparativo_Cenarios" sheetId="3" r:id="rId3"/>
    <sheet name="4_Credito_BNB_Sebrae" sheetId="4" r:id="rId4"/>
    <sheet name="5_Fluxo_BreakEven" sheetId="5" r:id="rId5"/>
    <sheet name="6_CRM_Clientes" sheetId="6" r:id="rId6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/>
  <c r="C6" i="3"/>
  <c r="D6" i="3"/>
  <c r="B9" i="3"/>
  <c r="C9" i="3"/>
  <c r="D9" i="3"/>
  <c r="B13" i="3"/>
  <c r="C13" i="3"/>
  <c r="D13" i="3"/>
  <c r="B4" i="3"/>
  <c r="C4" i="3"/>
  <c r="D4" i="3"/>
  <c r="B7" i="3"/>
  <c r="C7" i="3"/>
  <c r="D7" i="3"/>
  <c r="B8" i="3"/>
  <c r="C8" i="3"/>
  <c r="D8" i="3"/>
  <c r="C16" i="3"/>
  <c r="D16" i="3"/>
  <c r="B16" i="3"/>
  <c r="B14" i="3"/>
  <c r="C14" i="3"/>
  <c r="D14" i="3"/>
  <c r="B15" i="3"/>
  <c r="C15" i="3"/>
  <c r="D15" i="3"/>
  <c r="B5" i="3"/>
  <c r="C5" i="3"/>
  <c r="D5" i="3"/>
  <c r="C10" i="3"/>
  <c r="D10" i="3"/>
  <c r="B10" i="3"/>
  <c r="D11" i="3"/>
  <c r="B11" i="3"/>
  <c r="C11" i="3"/>
  <c r="C12" i="3"/>
  <c r="D12" i="3"/>
  <c r="B12" i="3"/>
  <c r="E18" i="4"/>
  <c r="E20" i="4"/>
  <c r="E21" i="4"/>
  <c r="E19" i="4"/>
  <c r="C20" i="5"/>
  <c r="B5" i="5"/>
  <c r="F5" i="5"/>
  <c r="G5" i="5"/>
  <c r="K5" i="5"/>
  <c r="H5" i="5"/>
  <c r="O5" i="5"/>
  <c r="L5" i="5"/>
  <c r="M5" i="5"/>
  <c r="J5" i="5"/>
  <c r="C5" i="5"/>
  <c r="D5" i="5"/>
  <c r="E5" i="5"/>
  <c r="I5" i="5"/>
  <c r="C19" i="5"/>
  <c r="C17" i="5"/>
  <c r="C14" i="5"/>
  <c r="C7" i="5"/>
  <c r="H7" i="5"/>
  <c r="K7" i="5"/>
  <c r="D7" i="5"/>
  <c r="M7" i="5"/>
  <c r="L7" i="5"/>
  <c r="I7" i="5"/>
  <c r="G7" i="5"/>
  <c r="F7" i="5"/>
  <c r="O7" i="5"/>
  <c r="B7" i="5"/>
  <c r="J7" i="5"/>
  <c r="E7" i="5"/>
  <c r="I8" i="5"/>
  <c r="K8" i="5"/>
  <c r="M8" i="5"/>
  <c r="O8" i="5"/>
  <c r="F8" i="5"/>
  <c r="L8" i="5"/>
  <c r="G8" i="5"/>
  <c r="H8" i="5"/>
  <c r="C8" i="5"/>
  <c r="J8" i="5"/>
  <c r="B8" i="5"/>
  <c r="E8" i="5"/>
  <c r="D8" i="5"/>
  <c r="C15" i="5"/>
  <c r="M6" i="5"/>
  <c r="K6" i="5"/>
  <c r="O6" i="5"/>
  <c r="H6" i="5"/>
  <c r="I6" i="5"/>
  <c r="G6" i="5"/>
  <c r="E6" i="5"/>
  <c r="B6" i="5"/>
  <c r="C6" i="5"/>
  <c r="F6" i="5"/>
  <c r="J6" i="5"/>
  <c r="L6" i="5"/>
  <c r="D6" i="5"/>
  <c r="C18" i="5"/>
  <c r="E10" i="5"/>
  <c r="I10" i="5"/>
  <c r="F10" i="5"/>
  <c r="B10" i="5"/>
  <c r="C10" i="5"/>
  <c r="L10" i="5"/>
  <c r="J10" i="5"/>
  <c r="G10" i="5"/>
  <c r="M10" i="5"/>
  <c r="H10" i="5"/>
  <c r="D10" i="5"/>
  <c r="K10" i="5"/>
  <c r="K4" i="5"/>
  <c r="E4" i="5"/>
  <c r="H4" i="5"/>
  <c r="I4" i="5"/>
  <c r="J4" i="5"/>
  <c r="D4" i="5"/>
  <c r="M4" i="5"/>
  <c r="L4" i="5"/>
  <c r="O4" i="5"/>
  <c r="F4" i="5"/>
  <c r="B4" i="5"/>
  <c r="C4" i="5"/>
  <c r="G4" i="5"/>
  <c r="C16" i="5"/>
  <c r="C13" i="5"/>
  <c r="H35" i="6"/>
  <c r="D24" i="1"/>
  <c r="B24" i="1"/>
  <c r="C24" i="1"/>
  <c r="B36" i="1"/>
  <c r="C36" i="1"/>
  <c r="D36" i="1"/>
  <c r="F25" i="2"/>
  <c r="I25" i="2"/>
  <c r="M25" i="2"/>
  <c r="N25" i="2"/>
  <c r="D25" i="2"/>
  <c r="B25" i="2"/>
  <c r="E25" i="2"/>
  <c r="J25" i="2"/>
  <c r="C25" i="2"/>
  <c r="L25" i="2"/>
  <c r="G25" i="2"/>
  <c r="H25" i="2"/>
  <c r="K25" i="2"/>
  <c r="I22" i="2"/>
  <c r="H22" i="2"/>
  <c r="J22" i="2"/>
  <c r="N22" i="2"/>
  <c r="C22" i="2"/>
  <c r="F22" i="2"/>
  <c r="G22" i="2"/>
  <c r="B22" i="2"/>
  <c r="M22" i="2"/>
  <c r="D22" i="2"/>
  <c r="E22" i="2"/>
  <c r="K22" i="2"/>
  <c r="L22" i="2"/>
  <c r="I13" i="2"/>
  <c r="E13" i="2"/>
  <c r="K13" i="2"/>
  <c r="H13" i="2"/>
  <c r="D13" i="2"/>
  <c r="L13" i="2"/>
  <c r="G13" i="2"/>
  <c r="B13" i="2"/>
  <c r="N13" i="2"/>
  <c r="J13" i="2"/>
  <c r="F13" i="2"/>
  <c r="M13" i="2"/>
  <c r="C13" i="2"/>
  <c r="B11" i="2"/>
  <c r="F11" i="2"/>
  <c r="J11" i="2"/>
  <c r="K11" i="2"/>
  <c r="H11" i="2"/>
  <c r="G11" i="2"/>
  <c r="D11" i="2"/>
  <c r="C11" i="2"/>
  <c r="I11" i="2"/>
  <c r="L11" i="2"/>
  <c r="M11" i="2"/>
  <c r="E11" i="2"/>
  <c r="E18" i="2"/>
  <c r="D18" i="2"/>
  <c r="J18" i="2"/>
  <c r="K18" i="2"/>
  <c r="L18" i="2"/>
  <c r="I18" i="2"/>
  <c r="M18" i="2"/>
  <c r="G18" i="2"/>
  <c r="C18" i="2"/>
  <c r="F18" i="2"/>
  <c r="H18" i="2"/>
  <c r="B18" i="2"/>
  <c r="I8" i="2"/>
  <c r="D8" i="2"/>
  <c r="F8" i="2"/>
  <c r="G8" i="2"/>
  <c r="E8" i="2"/>
  <c r="K8" i="2"/>
  <c r="L8" i="2"/>
  <c r="B8" i="2"/>
  <c r="C8" i="2"/>
  <c r="M8" i="2"/>
  <c r="H8" i="2"/>
  <c r="J8" i="2"/>
  <c r="K7" i="2"/>
  <c r="B7" i="2"/>
  <c r="F7" i="2"/>
  <c r="M7" i="2"/>
  <c r="E7" i="2"/>
  <c r="L7" i="2"/>
  <c r="C7" i="2"/>
  <c r="D7" i="2"/>
  <c r="J7" i="2"/>
  <c r="H7" i="2"/>
  <c r="I7" i="2"/>
  <c r="G7" i="2"/>
  <c r="J16" i="2"/>
  <c r="K16" i="2"/>
  <c r="C16" i="2"/>
  <c r="E16" i="2"/>
  <c r="B16" i="2"/>
  <c r="L16" i="2"/>
  <c r="D16" i="2"/>
  <c r="G16" i="2"/>
  <c r="F16" i="2"/>
  <c r="M16" i="2"/>
  <c r="I16" i="2"/>
  <c r="H16" i="2"/>
  <c r="K23" i="2"/>
  <c r="D23" i="2"/>
  <c r="M23" i="2"/>
  <c r="H23" i="2"/>
  <c r="E23" i="2"/>
  <c r="G23" i="2"/>
  <c r="L23" i="2"/>
  <c r="C23" i="2"/>
  <c r="N23" i="2"/>
  <c r="J23" i="2"/>
  <c r="I23" i="2"/>
  <c r="B23" i="2"/>
  <c r="F23" i="2"/>
  <c r="C27" i="2"/>
  <c r="E27" i="2"/>
  <c r="L27" i="2"/>
  <c r="B27" i="2"/>
  <c r="K27" i="2"/>
  <c r="M27" i="2"/>
  <c r="H27" i="2"/>
  <c r="D27" i="2"/>
  <c r="G27" i="2"/>
  <c r="I27" i="2"/>
  <c r="F27" i="2"/>
  <c r="J27" i="2"/>
  <c r="H19" i="2"/>
  <c r="M19" i="2"/>
  <c r="G19" i="2"/>
  <c r="K19" i="2"/>
  <c r="J19" i="2"/>
  <c r="D19" i="2"/>
  <c r="F19" i="2"/>
  <c r="N19" i="2"/>
  <c r="C19" i="2"/>
  <c r="B19" i="2"/>
  <c r="E19" i="2"/>
  <c r="L19" i="2"/>
  <c r="I19" i="2"/>
  <c r="C24" i="2"/>
  <c r="G24" i="2"/>
  <c r="I24" i="2"/>
  <c r="E24" i="2"/>
  <c r="L24" i="2"/>
  <c r="N24" i="2"/>
  <c r="H24" i="2"/>
  <c r="M24" i="2"/>
  <c r="B24" i="2"/>
  <c r="J24" i="2"/>
  <c r="K24" i="2"/>
  <c r="D24" i="2"/>
  <c r="F24" i="2"/>
  <c r="E12" i="2"/>
  <c r="G12" i="2"/>
  <c r="F12" i="2"/>
  <c r="K12" i="2"/>
  <c r="B12" i="2"/>
  <c r="M12" i="2"/>
  <c r="J12" i="2"/>
  <c r="C12" i="2"/>
  <c r="D12" i="2"/>
  <c r="I12" i="2"/>
  <c r="L12" i="2"/>
  <c r="H12" i="2"/>
  <c r="J6" i="2"/>
  <c r="M6" i="2"/>
  <c r="I6" i="2"/>
  <c r="F6" i="2"/>
  <c r="H6" i="2"/>
  <c r="E6" i="2"/>
  <c r="K6" i="2"/>
  <c r="B6" i="2"/>
  <c r="G6" i="2"/>
  <c r="D6" i="2"/>
  <c r="C6" i="2"/>
  <c r="L6" i="2"/>
  <c r="H17" i="2"/>
  <c r="I17" i="2"/>
  <c r="M17" i="2"/>
  <c r="E17" i="2"/>
  <c r="G17" i="2"/>
  <c r="C17" i="2"/>
  <c r="B17" i="2"/>
  <c r="L17" i="2"/>
  <c r="D17" i="2"/>
  <c r="F17" i="2"/>
  <c r="J17" i="2"/>
  <c r="K17" i="2"/>
</calcChain>
</file>

<file path=xl/sharedStrings.xml><?xml version="1.0" encoding="utf-8"?>
<sst xmlns="http://schemas.openxmlformats.org/spreadsheetml/2006/main" count="399" uniqueCount="289">
  <si>
    <t>PLANILHA DE VIABILIDADE FINANCEIRA — REVENDEDOR USG PORTÁTIL | SOBRAL/CE</t>
  </si>
  <si>
    <t>Premissas por Cenário  |  Células em AZUL = valores editáveis  |  Células em PRETO = fórmulas automáticas</t>
  </si>
  <si>
    <t>DEFINIÇÃO DOS CENÁRIOS</t>
  </si>
  <si>
    <t>PREMISSA</t>
  </si>
  <si>
    <t>CONSERVADOR</t>
  </si>
  <si>
    <t>MODERADO ★</t>
  </si>
  <si>
    <t>OTIMISTA</t>
  </si>
  <si>
    <t>UNIDADE</t>
  </si>
  <si>
    <t>FONTE / NOTA</t>
  </si>
  <si>
    <t>Vendas por mês (unidades)</t>
  </si>
  <si>
    <t>un/mês</t>
  </si>
  <si>
    <t>Ticket médio por venda</t>
  </si>
  <si>
    <t>R$/un</t>
  </si>
  <si>
    <t>Margem bruta (%)</t>
  </si>
  <si>
    <t>%</t>
  </si>
  <si>
    <t>Meses de carência/ramp-up</t>
  </si>
  <si>
    <t>meses</t>
  </si>
  <si>
    <t>Taxa de conversão de visitas (%)</t>
  </si>
  <si>
    <t>Ciclo médio de venda (dias)</t>
  </si>
  <si>
    <t>dias</t>
  </si>
  <si>
    <t>Receita de manutenção/acessórios</t>
  </si>
  <si>
    <t>R$/mês</t>
  </si>
  <si>
    <t>CUSTOS FIXOS MENSAIS (editáveis)</t>
  </si>
  <si>
    <t>ITEM DE CUSTO</t>
  </si>
  <si>
    <t>MODERADO</t>
  </si>
  <si>
    <t>Responsável Técnico (RT)</t>
  </si>
  <si>
    <t>Farmacêutico ou eng. biomédico PJ</t>
  </si>
  <si>
    <t>Contador especializado em saúde</t>
  </si>
  <si>
    <t>Obrigatório desde o 1º mês</t>
  </si>
  <si>
    <t>Marketing digital (LinkedIn/Insta)</t>
  </si>
  <si>
    <t>LinkedIn Ads + Instagram médico</t>
  </si>
  <si>
    <t>Armazenamento / logística</t>
  </si>
  <si>
    <t>Espaço climatizado + frete demo</t>
  </si>
  <si>
    <t>Telefone / internet / misc</t>
  </si>
  <si>
    <t>Comunicação operacional</t>
  </si>
  <si>
    <t>Taxa AFE / Vigilância Sanitária</t>
  </si>
  <si>
    <t>Rateio mensal de custos fixos</t>
  </si>
  <si>
    <t>Seguro de equipamentos (demo)</t>
  </si>
  <si>
    <t>Seguro do aparelho demonstração</t>
  </si>
  <si>
    <t>Outros fixos (escritório/misc)</t>
  </si>
  <si>
    <t>TOTAL CUSTOS FIXOS / MÊS</t>
  </si>
  <si>
    <t>INVESTIMENTO INICIAL (one-time)</t>
  </si>
  <si>
    <t>ITEM</t>
  </si>
  <si>
    <t>VALOR MÍNIMO</t>
  </si>
  <si>
    <t>VALOR MÉDIO</t>
  </si>
  <si>
    <t>VALOR MÁXIMO</t>
  </si>
  <si>
    <t>NOTAS</t>
  </si>
  <si>
    <t>Abertura empresa (LTDA/SLU)</t>
  </si>
  <si>
    <t>R$</t>
  </si>
  <si>
    <t>Contabilidade + cartório + JUCEC</t>
  </si>
  <si>
    <t>AFE ANVISA (taxas e petições)</t>
  </si>
  <si>
    <t>Depende do porte da empresa</t>
  </si>
  <si>
    <t>Alvará Sanitário Municipal</t>
  </si>
  <si>
    <t>VISA Sobral — inspeção local</t>
  </si>
  <si>
    <t>Responsável Técnico (setup)</t>
  </si>
  <si>
    <t>Setup inicial de POPs e docs</t>
  </si>
  <si>
    <t>Equipamento demonstração (1 un)</t>
  </si>
  <si>
    <t>USG portátil demo + sondas</t>
  </si>
  <si>
    <t>Capital de giro inicial</t>
  </si>
  <si>
    <t>Reserva 3–4 meses de custo fixo</t>
  </si>
  <si>
    <t>Materiais de marketing</t>
  </si>
  <si>
    <t>Folders, vídeos, site, demo kit</t>
  </si>
  <si>
    <t>Consultoria regulatória</t>
  </si>
  <si>
    <t>Stone Okamont ou similar</t>
  </si>
  <si>
    <t>TOTAL INVESTIMENTO INICIAL</t>
  </si>
  <si>
    <t>DRE PROJETADO — 12 MESES | CENÁRIO MODERADO (EDITÁVEL)</t>
  </si>
  <si>
    <t>Valores baseados nas premissas da aba '1_Premissas' — Cenário Moderado (coluna C)</t>
  </si>
  <si>
    <t>DEMONSTRATIVO DE RESULTADO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</si>
  <si>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</si>
  <si>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</si>
  <si>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</si>
  <si>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</si>
  <si>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</si>
  <si>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</si>
  <si>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</si>
  <si>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</si>
  <si>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</si>
  <si>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</si>
  <si>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</si>
  <si>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</si>
  <si>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 1</t>
  </si>
  <si>
    <t>↓ PREMISSAS (editáveis aqui ou na aba Premissas)</t>
  </si>
  <si>
    <t>Unidades vendidas/mês</t>
  </si>
  <si>
    <t>Ticket médio (R$)</t>
  </si>
  <si>
    <t>RECEITAS</t>
  </si>
  <si>
    <t>Receita USG portátil</t>
  </si>
  <si>
    <t>Receita manutenção/acessórios</t>
  </si>
  <si>
    <t>RECEITA BRUTA TOTAL</t>
  </si>
  <si>
    <t>CUSTOS</t>
  </si>
  <si>
    <t>CMV — Custo da Mercadoria Vendida</t>
  </si>
  <si>
    <t>Custos fixos totais</t>
  </si>
  <si>
    <t>Impostos estimados (Simples ~9%)</t>
  </si>
  <si>
    <t>TOTAL CUSTOS E DESPESAS</t>
  </si>
  <si>
    <t>RESULTADO</t>
  </si>
  <si>
    <t>Margem Bruta (R$)</t>
  </si>
  <si>
    <t>EBITDA (Lucro antes juros/depr.)</t>
  </si>
  <si>
    <t>LUCRO LÍQUIDO (após CMV + fixos + imposto)</t>
  </si>
  <si>
    <t>Margem líquida (%)</t>
  </si>
  <si>
    <t>Fluxo de Caixa Acumulado</t>
  </si>
  <si>
    <t>COMPARATIVO — 3 CENÁRIOS DE VIABILIDADE</t>
  </si>
  <si>
    <t>INDICADOR</t>
  </si>
  <si>
    <t>Vendas por mês (ano 1)</t>
  </si>
  <si>
    <t>Ticket médio</t>
  </si>
  <si>
    <t>Receita bruta mensal (steady)</t>
  </si>
  <si>
    <t>Custo fixo mensal</t>
  </si>
  <si>
    <t>Margem bruta %</t>
  </si>
  <si>
    <t>Margem bruta R$ (mensal steady)</t>
  </si>
  <si>
    <t>LUCRO LÍQUIDO MENSAL (steady)</t>
  </si>
  <si>
    <t>LUCRO LÍQUIDO ANUAL (est.)</t>
  </si>
  <si>
    <t>R$/ano</t>
  </si>
  <si>
    <t>Investimento inicial (médio)</t>
  </si>
  <si>
    <t>Payback estimado (meses)</t>
  </si>
  <si>
    <t>ROI anual (%)</t>
  </si>
  <si>
    <t>Ponto de equilíbrio (un/mês)</t>
  </si>
  <si>
    <t>LINHAS DE CRÉDITO — BNB / SEBRAE / PRONAMPE | CAPITAL DE GIRO E INVESTIMENTO</t>
  </si>
  <si>
    <t>Pesquisa realizada em abril/2026 — Verifique condições atualizadas com BNB e Sebrae antes de contratar</t>
  </si>
  <si>
    <t>LINHA DE CRÉDITO</t>
  </si>
  <si>
    <t>INSTITUIÇÃO</t>
  </si>
  <si>
    <t>TAXA JUROS</t>
  </si>
  <si>
    <t>PRAZO</t>
  </si>
  <si>
    <t>CARÊNCIA</t>
  </si>
  <si>
    <t>LIMITE</t>
  </si>
  <si>
    <t>FINALIDADE</t>
  </si>
  <si>
    <t>FNE Giro</t>
  </si>
  <si>
    <t>BNB</t>
  </si>
  <si>
    <t>a partir de 0,45%/mês</t>
  </si>
  <si>
    <t>até 36 meses</t>
  </si>
  <si>
    <t>até 3 meses</t>
  </si>
  <si>
    <t>Até R$ 16M (MPE)</t>
  </si>
  <si>
    <t>Capital de giro: estoques, mercadorias, insumos. Cobre aquisição de equipamentos demo.</t>
  </si>
  <si>
    <t>FNE MPE</t>
  </si>
  <si>
    <t>a partir de 0,40%/mês</t>
  </si>
  <si>
    <t>até 12 anos</t>
  </si>
  <si>
    <t>até 4 anos</t>
  </si>
  <si>
    <t>Variável por análise</t>
  </si>
  <si>
    <t>Investimento fixo + capital de giro associado (40% do total). Ideal para equip. médicos.</t>
  </si>
  <si>
    <t>FNE Comércio e Serviços</t>
  </si>
  <si>
    <t>até 10 anos</t>
  </si>
  <si>
    <t>até 3 anos</t>
  </si>
  <si>
    <t>Modernização e ampliação de comércios e serviços. Inclui equipamentos e capital de giro.</t>
  </si>
  <si>
    <t>PRONAMPE</t>
  </si>
  <si>
    <t>BNB/Caixa</t>
  </si>
  <si>
    <t>Selic + 6% a.a.</t>
  </si>
  <si>
    <t>até 48 meses</t>
  </si>
  <si>
    <t>até 11 meses</t>
  </si>
  <si>
    <t>Até R$ 250.000</t>
  </si>
  <si>
    <t>Capital de giro puro. Para empresa &lt;1 ano: até 50% do capital social.</t>
  </si>
  <si>
    <t>Giro Especial BNB</t>
  </si>
  <si>
    <t>a partir de 0,56%/mês</t>
  </si>
  <si>
    <t>customizada</t>
  </si>
  <si>
    <t>Variável</t>
  </si>
  <si>
    <t>Capital de giro customizado ao fluxo de caixa da empresa.</t>
  </si>
  <si>
    <t>Crédito Assistido Caixa+FAMPE</t>
  </si>
  <si>
    <t>Sebrae/Caixa</t>
  </si>
  <si>
    <t>Taxas Caixa</t>
  </si>
  <si>
    <t>até 60 meses</t>
  </si>
  <si>
    <t>até 24 meses</t>
  </si>
  <si>
    <t>Caixa + garantia FAMPE (até 80% do valor). Atendimento técnico gratuito Sebrae CE.</t>
  </si>
  <si>
    <t>FAMPE (garantia complementar)</t>
  </si>
  <si>
    <t>Sebrae</t>
  </si>
  <si>
    <t>Sem custo direto</t>
  </si>
  <si>
    <t>—</t>
  </si>
  <si>
    <t>Até 80% do finan.</t>
  </si>
  <si>
    <t>Fundo de aval para complementar garantias junto a qualquer banco conveniado.</t>
  </si>
  <si>
    <t>Acredita Sebrae</t>
  </si>
  <si>
    <t>Sebrae/parceiros</t>
  </si>
  <si>
    <t>Crédito assistido + consultoria gratuita. Mais de R$11B viabilizados. Disponível CE.</t>
  </si>
  <si>
    <t>MPE Capital de Giro BNB</t>
  </si>
  <si>
    <t>Específico para reforço de capital de giro de micro e pequenas empresas.</t>
  </si>
  <si>
    <t>Conta Empresarial MPE</t>
  </si>
  <si>
    <t>a partir de 2,86%/mês</t>
  </si>
  <si>
    <t>Rotativo</t>
  </si>
  <si>
    <t>Até limite aprovado</t>
  </si>
  <si>
    <t>Cheque especial PJ. Usar somente para eventualidades — taxa mais alta.</t>
  </si>
  <si>
    <t>SIMULADOR DE PARCELA (editável)</t>
  </si>
  <si>
    <t>PARÂMETRO</t>
  </si>
  <si>
    <t>VALOR</t>
  </si>
  <si>
    <t>Valor do empréstimo (R$)</t>
  </si>
  <si>
    <t>Parcela mensal (após carência)</t>
  </si>
  <si>
    <t>Taxa de juros mensal (%)</t>
  </si>
  <si>
    <t>Total pago ao banco</t>
  </si>
  <si>
    <t>Prazo total (meses)</t>
  </si>
  <si>
    <t>Total de juros pagos</t>
  </si>
  <si>
    <t>Carência (meses)</t>
  </si>
  <si>
    <t>Custo efetivo total (%a.a.)</t>
  </si>
  <si>
    <t>CONTATOS BNB E SEBRAE — SOBRAL/CE</t>
  </si>
  <si>
    <t>ENDEREÇO</t>
  </si>
  <si>
    <t>TELEFONE</t>
  </si>
  <si>
    <t>REFERÊNCIA</t>
  </si>
  <si>
    <t>SITE/PORTAL</t>
  </si>
  <si>
    <t>FONE GRATUITO</t>
  </si>
  <si>
    <t>BNB — Agência Sobral</t>
  </si>
  <si>
    <t>Av. Dom José, s/n — Centro</t>
  </si>
  <si>
    <t>(88) 3677-XXXX</t>
  </si>
  <si>
    <t>Ag. 0707 — Sobral CE</t>
  </si>
  <si>
    <t>bnb.gov.br</t>
  </si>
  <si>
    <t>0800 728 3030</t>
  </si>
  <si>
    <t>Sebrae CE — Escritório Sobral</t>
  </si>
  <si>
    <t>R. João Távora, 80 — Centro</t>
  </si>
  <si>
    <t>(88) 3614-1690</t>
  </si>
  <si>
    <t>sebrae.com.br/ce</t>
  </si>
  <si>
    <t>ce.sebrae.com.br</t>
  </si>
  <si>
    <t>0800 570 0800</t>
  </si>
  <si>
    <t>BNB Digital</t>
  </si>
  <si>
    <t>App / Internet Banking</t>
  </si>
  <si>
    <t>Simulador: bnb.gov.br/simuladores/fnegiro</t>
  </si>
  <si>
    <t>Sebrae Acredita</t>
  </si>
  <si>
    <t>Portal Nacional</t>
  </si>
  <si>
    <t>sebrae.com.br/acredita</t>
  </si>
  <si>
    <t>Acesso online + agência local</t>
  </si>
  <si>
    <t>FLUXO DE CAIXA PROJETADO + ANÁLISE DE BREAK-EVEN — 12 MESES</t>
  </si>
  <si>
    <t>TOTAL / ANO</t>
  </si>
  <si>
    <t>(+) Receita Bruta</t>
  </si>
  <si>
    <t>(-) CMV</t>
  </si>
  <si>
    <t>(-) Custos Fixos</t>
  </si>
  <si>
    <t>(-) Impostos</t>
  </si>
  <si>
    <t>(=) Caixa do Mês</t>
  </si>
  <si>
    <t>Caixa Acumulado (após invest. inicial)</t>
  </si>
  <si>
    <t>ANÁLISE DE BREAK-EVEN (PONTO DE EQUILÍBRIO)</t>
  </si>
  <si>
    <t>Custo fixo mensal (R$)</t>
  </si>
  <si>
    <t>Imposto efetivo sobre receita</t>
  </si>
  <si>
    <t>Contribuição marginal por un (R$)</t>
  </si>
  <si>
    <t>BREAK-EVEN (unidades/mês)</t>
  </si>
  <si>
    <t>BREAK-EVEN (receita/mês R$)</t>
  </si>
  <si>
    <t>Margem de segurança (over B/E)</t>
  </si>
  <si>
    <t>CRM SIMPLIFICADO — PIPELINE DE VENDAS USG PORTÁTIL | SOBRAL/CE</t>
  </si>
  <si>
    <t>#</t>
  </si>
  <si>
    <t>NOME DO CLIENTE / CLÍNICA</t>
  </si>
  <si>
    <t>MÉDICO RESPONSÁVEL</t>
  </si>
  <si>
    <t>ESPECIALIDADE</t>
  </si>
  <si>
    <t>E-MAIL / INSTA</t>
  </si>
  <si>
    <t>ESTÁGIO</t>
  </si>
  <si>
    <t>VALOR EST. (R$)</t>
  </si>
  <si>
    <t>PRÓXIMA AÇÃO</t>
  </si>
  <si>
    <t>DATA</t>
  </si>
  <si>
    <t>Hospital Regional Norte (HRN)</t>
  </si>
  <si>
    <t>UTI / Plantonistas</t>
  </si>
  <si>
    <t>Intensivismo</t>
  </si>
  <si>
    <t>(88) 3677-9300</t>
  </si>
  <si>
    <t>Prospecção</t>
  </si>
  <si>
    <t>Contato direto Dr. [seu nome]</t>
  </si>
  <si>
    <t>Abr/2026</t>
  </si>
  <si>
    <t>Santa Casa de Misericórdia</t>
  </si>
  <si>
    <t>Gestão hospitalar</t>
  </si>
  <si>
    <t>Multiprofissional</t>
  </si>
  <si>
    <t>(88) 3112-0400</t>
  </si>
  <si>
    <t>Reunião c/ gerência médica</t>
  </si>
  <si>
    <t>CLINICOR — Dra. Margleicia</t>
  </si>
  <si>
    <t>Dra. Margleicia Coutinho</t>
  </si>
  <si>
    <t>Cardio + Intensivismo</t>
  </si>
  <si>
    <t>(88) 3613-2244</t>
  </si>
  <si>
    <t>Demo agendada</t>
  </si>
  <si>
    <t>Demo Butterfly iQ+ no consultório</t>
  </si>
  <si>
    <t>Mai/2026</t>
  </si>
  <si>
    <t>Centrocardio — Dr. Maurício</t>
  </si>
  <si>
    <t>Dr. Maurício Medeiros</t>
  </si>
  <si>
    <t>Cardiologia + Eco</t>
  </si>
  <si>
    <t>(88) 99722-5000</t>
  </si>
  <si>
    <t>Demonstração Mindray MX6</t>
  </si>
  <si>
    <t>Clínica do Coração de Sobral</t>
  </si>
  <si>
    <t>Cardiologia</t>
  </si>
  <si>
    <t>(88) 97602-9250</t>
  </si>
  <si>
    <t>Enviar material técnico</t>
  </si>
  <si>
    <t>NOTRE — Ortopedia</t>
  </si>
  <si>
    <t>Dr. João Paulo Linhares</t>
  </si>
  <si>
    <t>Ortopedia + MSK</t>
  </si>
  <si>
    <t>Visita + folder USG MSK</t>
  </si>
  <si>
    <t>Jun/2026</t>
  </si>
  <si>
    <t>Clínica Santa Clara</t>
  </si>
  <si>
    <t>Dr. Tarciano</t>
  </si>
  <si>
    <t>Gineco/Obstetrícia</t>
  </si>
  <si>
    <t>(88) 3611-4610</t>
  </si>
  <si>
    <t>Demo USG obstétrico</t>
  </si>
  <si>
    <t>PrevMédica</t>
  </si>
  <si>
    <t>Multi</t>
  </si>
  <si>
    <t>(88) 3613-2949</t>
  </si>
  <si>
    <t>Contato com gerência</t>
  </si>
  <si>
    <t>CMS Centro Médico Sobralense</t>
  </si>
  <si>
    <t>Dr. Luis Edmundo Furtado</t>
  </si>
  <si>
    <t>Neurologia</t>
  </si>
  <si>
    <t>(88) 99868-4795</t>
  </si>
  <si>
    <t>Enviar proposta</t>
  </si>
  <si>
    <t>Vila Clinic</t>
  </si>
  <si>
    <t>Gastro/Gineco/Nefrologia</t>
  </si>
  <si>
    <t>(88) 99944-1702</t>
  </si>
  <si>
    <t>Visita + folheto</t>
  </si>
  <si>
    <t>Jul/2026</t>
  </si>
  <si>
    <t>TOTAIS PIPELINE</t>
  </si>
  <si>
    <t>← Valor total GANHO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</si>
</sst>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  <scheme val="minor"/>
    </font>
    <font>
      <name val="Arial"/>
      <sz val="11.00"/>
      <color rgb="FF008000"/>
      <family val="2"/>
    </font>
    <font>
      <name val="Arial"/>
      <sz val="11.00"/>
      <b/>
      <color rgb="FF000000"/>
      <family val="2"/>
    </font>
    <font>
      <name val="Arial"/>
      <sz val="9.00"/>
      <color rgb="FF000000"/>
      <family val="2"/>
    </font>
    <font>
      <name val="Arial"/>
      <sz val="11.00"/>
      <color rgb="FF000000"/>
      <family val="2"/>
    </font>
    <font>
      <name val="Arial"/>
      <sz val="10.00"/>
      <b/>
      <color rgb="FFFFFFFF"/>
      <family val="2"/>
    </font>
    <font>
      <name val="Arial"/>
      <sz val="11.00"/>
      <b/>
      <color rgb="FFFFFFFF"/>
      <family val="2"/>
    </font>
    <font>
      <name val="Arial"/>
      <sz val="10.00"/>
      <color rgb="FF000000"/>
      <family val="2"/>
    </font>
    <font>
      <name val="Arial"/>
      <sz val="10.00"/>
      <color rgb="FF888780"/>
      <family val="2"/>
    </font>
    <font>
      <name val="Calibri"/>
      <sz val="11.00"/>
      <color rgb="FF000000"/>
      <family val="2"/>
    </font>
    <font>
      <name val="Arial"/>
      <sz val="11.00"/>
      <b/>
      <color rgb="FF185FA5"/>
      <family val="2"/>
    </font>
    <font>
      <name val="Arial"/>
      <sz val="11.00"/>
      <b/>
      <color rgb="FF0F6E56"/>
      <family val="2"/>
    </font>
    <font>
      <name val="Arial"/>
      <sz val="9.00"/>
      <b/>
      <color rgb="FF000000"/>
      <family val="2"/>
    </font>
    <font>
      <name val="Arial"/>
      <sz val="10.00"/>
      <b/>
      <color rgb="FF000000"/>
      <family val="2"/>
    </font>
    <font>
      <name val="Arial"/>
      <sz val="13.00"/>
      <b/>
      <color rgb="FFFFFFFF"/>
      <family val="2"/>
    </font>
    <font>
      <name val="Arial"/>
      <sz val="9.00"/>
      <b/>
      <color rgb="FFFFFFFF"/>
      <family val="2"/>
    </font>
    <font>
      <name val="Arial"/>
      <sz val="10.00"/>
      <i/>
      <color rgb="FF185FA5"/>
      <family val="2"/>
    </font>
    <font>
      <name val="Arial"/>
      <sz val="11.00"/>
      <color rgb="FF0000FF"/>
      <family val="2"/>
    </font>
    <font>
      <name val="Arial"/>
      <sz val="9.00"/>
      <i/>
      <color rgb="FF1D9E75"/>
      <family val="2"/>
    </font>
    <font>
      <name val="Arial"/>
      <sz val="9.00"/>
      <i/>
      <color rgb="FF888780"/>
      <family val="2"/>
    </font>
    <font>
      <name val="Arial"/>
      <sz val="14.00"/>
      <b/>
      <color rgb="FFFFFFFF"/>
      <family val="2"/>
    </font>
    <font>
      <name val="Arial"/>
      <sz val="10.00"/>
      <b/>
      <color rgb="FF0F6E56"/>
      <family val="2"/>
    </font>
    <font>
      <name val="Arial"/>
      <sz val="10.00"/>
      <i/>
      <color rgb="FF0F6E56"/>
      <family val="2"/>
    </font>
  </fonts>
  <fills count="76">
    <fill>
      <patternFill patternType="none"/>
    </fill>
    <fill>
      <patternFill patternType="gray125"/>
    </fill>
    <fill>
      <patternFill patternType="solid">
        <fgColor rgb="FFF1EFE8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4F0B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4444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rgb="FF444441"/>
        <bgColor indexed="64"/>
      </patternFill>
    </fill>
    <fill>
      <patternFill patternType="solid">
        <fgColor rgb="FF854F0B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854F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6E56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185FA5"/>
        <bgColor indexed="64"/>
      </patternFill>
    </fill>
    <fill>
      <patternFill patternType="solid">
        <fgColor rgb="FFE1F5EE"/>
        <bgColor indexed="64"/>
      </patternFill>
    </fill>
  </fills>
  <borders count="77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84">
    <xf numFmtId="0" fontId="0" fillId="0" borderId="0"/>
    <xf fontId="1" applyFont="1" fillId="2" applyFill="1" borderId="1" applyBorder="1" applyAlignment="1">
      <alignment vertical="center" horizontal="right"/>
    </xf>
    <xf fontId="2" applyFont="1" fillId="3" applyFill="1" borderId="2" applyBorder="1" applyAlignment="1">
      <alignment vertical="center" horizontal="right"/>
    </xf>
    <xf fontId="3" applyFont="1" fillId="4" applyFill="1" borderId="3" applyBorder="1" applyAlignment="1">
      <alignment vertical="center" horizontal="left"/>
    </xf>
    <xf fontId="4" applyFont="1" fillId="5" applyFill="1" borderId="4" applyBorder="1" applyAlignment="1">
      <alignment vertical="center" horizontal="right"/>
    </xf>
    <xf fontId="5" applyFont="1" fillId="6" applyFill="1" borderId="5" applyBorder="1" applyAlignment="1">
      <alignment vertical="center" horizontal="center"/>
    </xf>
    <xf fontId="6" applyFont="1" fillId="7" applyFill="1" borderId="6" applyBorder="1" applyAlignment="1">
      <alignment vertical="center" horizontal="right"/>
    </xf>
    <xf fontId="6" applyFont="1" fillId="8" applyFill="1" borderId="7" applyBorder="1" applyAlignment="1">
      <alignment vertical="center" horizontal="center"/>
    </xf>
    <xf fontId="7" applyFont="1" fillId="9" applyFill="1" borderId="8" applyBorder="1"/>
    <xf fontId="3" applyFont="1" fillId="10" applyFill="1" borderId="9" applyBorder="1"/>
    <xf fontId="8" applyFont="1" fillId="11" applyFill="1" borderId="10" applyBorder="1" applyAlignment="1">
      <alignment vertical="center" horizontal="center"/>
    </xf>
    <xf fontId="5" applyFont="1" fillId="12" applyFill="1" borderId="11" applyBorder="1" applyAlignment="1">
      <alignment vertical="center" horizontal="center"/>
    </xf>
    <xf fontId="9" applyFont="1" borderId="12" applyBorder="1"/>
    <xf fontId="10" applyFont="1" fillId="13" applyFill="1" borderId="13" applyBorder="1"/>
    <xf fontId="8" applyFont="1" fillId="14" applyFill="1" borderId="14" applyBorder="1" applyAlignment="1">
      <alignment vertical="center" horizontal="center"/>
    </xf>
    <xf fontId="2" applyFont="1" fillId="15" applyFill="1" borderId="15" applyBorder="1"/>
    <xf fontId="2" applyFont="1" fillId="16" applyFill="1" borderId="16" applyBorder="1" applyAlignment="1">
      <alignment vertical="center" horizontal="right"/>
    </xf>
    <xf fontId="2" applyFont="1" fillId="17" applyFill="1" borderId="17" applyBorder="1"/>
    <xf fontId="11" applyFont="1" fillId="18" applyFill="1" borderId="18" applyBorder="1" applyAlignment="1">
      <alignment vertical="center" horizontal="left"/>
    </xf>
    <xf fontId="4" applyFont="1" borderId="19" applyBorder="1" applyAlignment="1">
      <alignment vertical="center" horizontal="right"/>
    </xf>
    <xf fontId="3" applyFont="1" fillId="19" applyFill="1" borderId="20" applyBorder="1" applyAlignment="1">
      <alignment vertical="center" horizontal="left" wrapText="1"/>
    </xf>
    <xf fontId="1" applyFont="1" fillId="20" applyFill="1" borderId="21" applyBorder="1" applyAlignment="1">
      <alignment vertical="center" horizontal="right"/>
    </xf>
    <xf fontId="11" applyFont="1" fillId="21" applyFill="1" borderId="22" applyBorder="1" applyAlignment="1">
      <alignment vertical="center" horizontal="left"/>
    </xf>
    <xf fontId="2" applyFont="1" fillId="22" applyFill="1" borderId="23" applyBorder="1"/>
    <xf fontId="11" applyFont="1" fillId="23" applyFill="1" borderId="24" applyBorder="1" applyAlignment="1">
      <alignment vertical="center" horizontal="left"/>
    </xf>
    <xf fontId="2" applyFont="1" fillId="24" applyFill="1" borderId="25" applyBorder="1" applyAlignment="1">
      <alignment vertical="center" horizontal="right"/>
    </xf>
    <xf fontId="4" applyFont="1" fillId="25" applyFill="1" borderId="26" applyBorder="1" applyAlignment="1">
      <alignment vertical="center" horizontal="right"/>
    </xf>
    <xf fontId="9" applyFont="1" fillId="26" applyFill="1" borderId="27" applyBorder="1"/>
    <xf fontId="2" applyFont="1" fillId="27" applyFill="1" borderId="28" applyBorder="1" applyAlignment="1">
      <alignment vertical="center" horizontal="right"/>
    </xf>
    <xf fontId="12" applyFont="1" fillId="28" applyFill="1" borderId="29" applyBorder="1" applyAlignment="1">
      <alignment vertical="center" horizontal="left"/>
    </xf>
    <xf fontId="3" applyFont="1" fillId="29" applyFill="1" borderId="30" applyBorder="1" applyAlignment="1">
      <alignment vertical="center" horizontal="left"/>
    </xf>
    <xf fontId="3" applyFont="1" fillId="30" applyFill="1" borderId="31" applyBorder="1" applyAlignment="1">
      <alignment vertical="center" horizontal="left"/>
    </xf>
    <xf fontId="2" applyFont="1" fillId="31" applyFill="1" borderId="32" applyBorder="1" applyAlignment="1">
      <alignment vertical="center" horizontal="right"/>
    </xf>
    <xf fontId="4" applyFont="1" fillId="32" applyFill="1" borderId="33" applyBorder="1" applyAlignment="1">
      <alignment vertical="center" horizontal="right"/>
    </xf>
    <xf fontId="6" applyFont="1" fillId="33" applyFill="1" borderId="34" applyBorder="1" applyAlignment="1">
      <alignment vertical="center" horizontal="center"/>
    </xf>
    <xf fontId="9" applyFont="1" borderId="35" applyBorder="1"/>
    <xf fontId="1" applyFont="1" fillId="34" applyFill="1" borderId="36" applyBorder="1" applyAlignment="1">
      <alignment vertical="center" horizontal="right"/>
    </xf>
    <xf fontId="3" applyFont="1" fillId="35" applyFill="1" borderId="37" applyBorder="1" applyAlignment="1">
      <alignment vertical="center" horizontal="left" wrapText="1"/>
    </xf>
    <xf fontId="2" applyFont="1" fillId="36" applyFill="1" borderId="38" applyBorder="1" applyAlignment="1">
      <alignment vertical="center" horizontal="right"/>
    </xf>
    <xf fontId="13" applyFont="1" fillId="37" applyFill="1" borderId="39" applyBorder="1"/>
    <xf fontId="3" applyFont="1" fillId="38" applyFill="1" borderId="40" applyBorder="1" applyAlignment="1">
      <alignment vertical="center" horizontal="left" wrapText="1"/>
    </xf>
    <xf fontId="14" applyFont="1" fillId="39" applyFill="1" applyAlignment="1">
      <alignment vertical="center" horizontal="center"/>
    </xf>
    <xf fontId="3" applyFont="1" fillId="40" applyFill="1" borderId="41" applyBorder="1"/>
    <xf fontId="3" applyFont="1" fillId="41" applyFill="1" borderId="42" applyBorder="1" applyAlignment="1">
      <alignment vertical="center" horizontal="left" wrapText="1"/>
    </xf>
    <xf fontId="9" applyFont="1" borderId="43" applyBorder="1"/>
    <xf fontId="12" applyFont="1" fillId="42" applyFill="1" borderId="44" applyBorder="1" applyAlignment="1">
      <alignment vertical="center" horizontal="left"/>
    </xf>
    <xf fontId="13" applyFont="1" fillId="43" applyFill="1" borderId="45" applyBorder="1"/>
    <xf fontId="15" applyFont="1" fillId="44" applyFill="1" borderId="46" applyBorder="1" applyAlignment="1">
      <alignment vertical="center" horizontal="center"/>
    </xf>
    <xf fontId="2" applyFont="1" fillId="45" applyFill="1" borderId="47" applyBorder="1"/>
    <xf fontId="14" applyFont="1" fillId="46" applyFill="1" applyAlignment="1">
      <alignment vertical="center" horizontal="center"/>
    </xf>
    <xf fontId="16" applyFont="1" fillId="47" applyFill="1" applyAlignment="1">
      <alignment vertical="center" horizontal="center"/>
    </xf>
    <xf fontId="12" applyFont="1" fillId="48" applyFill="1" borderId="48" applyBorder="1" applyAlignment="1">
      <alignment vertical="center" horizontal="left"/>
    </xf>
    <xf fontId="3" applyFont="1" fillId="49" applyFill="1" borderId="49" applyBorder="1" applyAlignment="1">
      <alignment vertical="center" horizontal="left"/>
    </xf>
    <xf fontId="17" applyFont="1" fillId="50" applyFill="1" borderId="50" applyBorder="1" applyAlignment="1">
      <alignment vertical="center" horizontal="right"/>
    </xf>
    <xf fontId="13" applyFont="1" fillId="51" applyFill="1" borderId="51" applyBorder="1"/>
    <xf fontId="8" applyFont="1" borderId="52" applyBorder="1" applyAlignment="1">
      <alignment vertical="center" horizontal="center"/>
    </xf>
    <xf fontId="9" applyFont="1" fillId="52" applyFill="1" borderId="53" applyBorder="1"/>
    <xf fontId="11" applyFont="1" fillId="53" applyFill="1" borderId="54" applyBorder="1"/>
    <xf fontId="7" applyFont="1" fillId="54" applyFill="1" borderId="55" applyBorder="1"/>
    <xf fontId="18" applyFont="1" borderId="56" applyBorder="1"/>
    <xf fontId="1" applyFont="1" fillId="55" applyFill="1" borderId="57" applyBorder="1" applyAlignment="1">
      <alignment vertical="center" horizontal="right"/>
    </xf>
    <xf fontId="2" applyFont="1" fillId="56" applyFill="1" borderId="58" applyBorder="1" applyAlignment="1">
      <alignment vertical="center" horizontal="right"/>
    </xf>
    <xf fontId="11" applyFont="1" fillId="57" applyFill="1" borderId="59" applyBorder="1" applyAlignment="1">
      <alignment vertical="center" horizontal="left"/>
    </xf>
    <xf fontId="14" applyFont="1" fillId="58" applyFill="1" applyAlignment="1">
      <alignment vertical="center" horizontal="center"/>
    </xf>
    <xf fontId="2" applyFont="1" fillId="59" applyFill="1" borderId="60" applyBorder="1"/>
    <xf fontId="11" applyFont="1" fillId="60" applyFill="1" borderId="61" applyBorder="1" applyAlignment="1">
      <alignment vertical="center" horizontal="left"/>
    </xf>
    <xf fontId="6" applyFont="1" fillId="61" applyFill="1" borderId="62" applyBorder="1"/>
    <xf fontId="19" applyFont="1" borderId="63" applyBorder="1"/>
    <xf fontId="15" applyFont="1" fillId="62" applyFill="1" borderId="64" applyBorder="1" applyAlignment="1">
      <alignment vertical="center" horizontal="center"/>
    </xf>
    <xf fontId="1" applyFont="1" borderId="65" applyBorder="1" applyAlignment="1">
      <alignment vertical="center" horizontal="right"/>
    </xf>
    <xf fontId="6" applyFont="1" fillId="63" applyFill="1" borderId="66" applyBorder="1"/>
    <xf fontId="6" applyFont="1" fillId="64" applyFill="1" borderId="67" applyBorder="1"/>
    <xf fontId="6" applyFont="1" fillId="65" applyFill="1" borderId="68" applyBorder="1" applyAlignment="1">
      <alignment vertical="center" horizontal="center"/>
    </xf>
    <xf fontId="7" applyFont="1" borderId="69" applyBorder="1"/>
    <xf fontId="7" applyFont="1" fillId="66" applyFill="1" borderId="70" applyBorder="1"/>
    <xf fontId="2" applyFont="1" fillId="67" applyFill="1" borderId="71" applyBorder="1" applyAlignment="1">
      <alignment vertical="center" horizontal="right"/>
    </xf>
    <xf fontId="8" applyFont="1" fillId="68" applyFill="1" borderId="72" applyBorder="1" applyAlignment="1">
      <alignment vertical="center" horizontal="center"/>
    </xf>
    <xf fontId="20" applyFont="1" fillId="69" applyFill="1" applyAlignment="1">
      <alignment vertical="center" horizontal="center"/>
    </xf>
    <xf fontId="14" applyFont="1" fillId="70" applyFill="1" applyAlignment="1">
      <alignment vertical="center" horizontal="center"/>
    </xf>
    <xf fontId="13" applyFont="1" fillId="71" applyFill="1" borderId="73" applyBorder="1"/>
    <xf fontId="7" applyFont="1" fillId="72" applyFill="1" borderId="74" applyBorder="1"/>
    <xf fontId="21" applyFont="1" fillId="73" applyFill="1" borderId="75" applyBorder="1"/>
    <xf fontId="6" applyFont="1" fillId="74" applyFill="1" borderId="76" applyBorder="1" applyAlignment="1">
      <alignment vertical="center" horizontal="center"/>
    </xf>
    <xf fontId="22" applyFont="1" fillId="75" applyFill="1" applyAlignment="1">
      <alignment vertical="center" horizontal="center"/>
    </xf>
  </cellStyleXfs>
  <cellXfs count="84">
    <xf numFmtId="0" fontId="0" fillId="0" borderId="0" xfId="0"/>
    <xf xfId="77" quotePrefix="0" pivotButton="0" fontId="20" applyFont="1" fillId="69" applyFill="1" applyAlignment="1">
      <alignment vertical="center" horizontal="center"/>
    </xf>
    <xf xfId="83" quotePrefix="0" pivotButton="0" fontId="22" applyFont="1" fillId="75" applyFill="1" applyAlignment="1">
      <alignment vertical="center" horizontal="center"/>
    </xf>
    <xf xfId="65" quotePrefix="0" pivotButton="0" fontId="11" applyFont="1" fillId="60" applyFill="1" borderId="61" applyBorder="1" applyAlignment="1">
      <alignment vertical="center" horizontal="left"/>
    </xf>
    <xf xfId="12" quotePrefix="0" pivotButton="0" fontId="9" applyFont="1" borderId="12" applyBorder="1"/>
    <xf xfId="44" quotePrefix="0" pivotButton="0" fontId="9" applyFont="1" borderId="43" applyBorder="1"/>
    <xf xfId="7" quotePrefix="0" pivotButton="0" fontId="6" applyFont="1" fillId="8" applyFill="1" borderId="7" applyBorder="1" applyAlignment="1">
      <alignment vertical="center" horizontal="center"/>
    </xf>
    <xf xfId="73" quotePrefix="0" pivotButton="0" fontId="7" applyFont="1" borderId="69" applyBorder="1"/>
    <xf xfId="53" quotePrefix="0" pivotButton="0" fontId="17" applyFont="1" fillId="50" applyFill="1" borderId="50" applyBorder="1" applyAlignment="1">
      <alignment vertical="center" horizontal="right"/>
    </xf>
    <xf xfId="55" quotePrefix="0" pivotButton="0" fontId="8" applyFont="1" borderId="52" applyBorder="1" applyAlignment="1">
      <alignment vertical="center" horizontal="center"/>
    </xf>
    <xf xfId="35" quotePrefix="0" pivotButton="0" fontId="9" applyFont="1" borderId="35" applyBorder="1"/>
    <xf xfId="24" quotePrefix="0" pivotButton="0" fontId="11" applyFont="1" fillId="23" applyFill="1" borderId="24" applyBorder="1" applyAlignment="1">
      <alignment vertical="center" horizontal="left"/>
    </xf>
    <xf xfId="72" quotePrefix="0" pivotButton="0" fontId="6" applyFont="1" fillId="65" applyFill="1" borderId="68" applyBorder="1" applyAlignment="1">
      <alignment vertical="center" horizontal="center"/>
    </xf>
    <xf xfId="70" quotePrefix="0" pivotButton="0" fontId="6" applyFont="1" fillId="63" applyFill="1" borderId="66" applyBorder="1"/>
    <xf xfId="67" quotePrefix="0" pivotButton="0" fontId="19" applyFont="1" borderId="63" applyBorder="1"/>
    <xf xfId="64" quotePrefix="0" pivotButton="0" fontId="2" applyFont="1" fillId="59" applyFill="1" borderId="60" applyBorder="1"/>
    <xf xfId="25" quotePrefix="0" pivotButton="0" fontId="2" applyFont="1" fillId="24" applyFill="1" borderId="25" applyBorder="1" applyAlignment="1">
      <alignment vertical="center" horizontal="right"/>
    </xf>
    <xf xfId="18" quotePrefix="0" pivotButton="0" fontId="11" applyFont="1" fillId="18" applyFill="1" borderId="18" applyBorder="1" applyAlignment="1">
      <alignment vertical="center" horizontal="left"/>
    </xf>
    <xf xfId="82" quotePrefix="0" pivotButton="0" fontId="6" applyFont="1" fillId="74" applyFill="1" borderId="76" applyBorder="1" applyAlignment="1">
      <alignment vertical="center" horizontal="center"/>
    </xf>
    <xf xfId="71" quotePrefix="0" pivotButton="0" fontId="6" applyFont="1" fillId="64" applyFill="1" borderId="67" applyBorder="1"/>
    <xf xfId="17" quotePrefix="0" pivotButton="0" fontId="2" applyFont="1" fillId="17" applyFill="1" borderId="17" applyBorder="1"/>
    <xf xfId="2" quotePrefix="0" pivotButton="0" fontId="2" applyFont="1" fillId="3" applyFill="1" borderId="2" applyBorder="1" applyAlignment="1">
      <alignment vertical="center" horizontal="right"/>
    </xf>
    <xf xfId="63" quotePrefix="0" pivotButton="0" fontId="14" applyFont="1" fillId="58" applyFill="1" applyAlignment="1">
      <alignment vertical="center" horizontal="center"/>
    </xf>
    <xf xfId="81" quotePrefix="0" pivotButton="0" fontId="21" applyFont="1" fillId="73" applyFill="1" borderId="75" applyBorder="1"/>
    <xf xfId="69" quotePrefix="0" pivotButton="0" fontId="1" applyFont="1" borderId="65" applyBorder="1" applyAlignment="1">
      <alignment vertical="center" horizontal="right"/>
    </xf>
    <xf xfId="19" quotePrefix="0" pivotButton="0" fontId="4" applyFont="1" borderId="19" applyBorder="1" applyAlignment="1">
      <alignment vertical="center" horizontal="right"/>
    </xf>
    <xf xfId="23" quotePrefix="0" pivotButton="0" fontId="2" applyFont="1" fillId="22" applyFill="1" borderId="23" applyBorder="1"/>
    <xf xfId="75" quotePrefix="0" pivotButton="0" fontId="2" applyFont="1" fillId="67" applyFill="1" borderId="71" applyBorder="1" applyAlignment="1">
      <alignment vertical="center" horizontal="right"/>
    </xf>
    <xf xfId="62" quotePrefix="0" pivotButton="0" fontId="11" applyFont="1" fillId="57" applyFill="1" borderId="59" applyBorder="1" applyAlignment="1">
      <alignment vertical="center" horizontal="left"/>
    </xf>
    <xf xfId="15" quotePrefix="0" pivotButton="0" fontId="2" applyFont="1" fillId="15" applyFill="1" borderId="15" applyBorder="1"/>
    <xf xfId="28" quotePrefix="0" pivotButton="0" fontId="2" applyFont="1" fillId="27" applyFill="1" borderId="28" applyBorder="1" applyAlignment="1">
      <alignment vertical="center" horizontal="right"/>
    </xf>
    <xf xfId="22" quotePrefix="0" pivotButton="0" fontId="11" applyFont="1" fillId="21" applyFill="1" borderId="22" applyBorder="1" applyAlignment="1">
      <alignment vertical="center" horizontal="left"/>
    </xf>
    <xf xfId="48" quotePrefix="0" pivotButton="0" fontId="2" applyFont="1" fillId="45" applyFill="1" borderId="47" applyBorder="1"/>
    <xf xfId="38" quotePrefix="0" pivotButton="0" fontId="2" applyFont="1" fillId="36" applyFill="1" borderId="38" applyBorder="1" applyAlignment="1">
      <alignment vertical="center" horizontal="right"/>
    </xf>
    <xf xfId="66" quotePrefix="0" pivotButton="0" fontId="6" applyFont="1" fillId="61" applyFill="1" borderId="62" applyBorder="1"/>
    <xf xfId="6" quotePrefix="0" pivotButton="0" fontId="6" applyFont="1" fillId="7" applyFill="1" borderId="6" applyBorder="1" applyAlignment="1">
      <alignment vertical="center" horizontal="right"/>
    </xf>
    <xf xfId="13" quotePrefix="0" pivotButton="0" fontId="10" applyFont="1" fillId="13" applyFill="1" borderId="13" applyBorder="1"/>
    <xf xfId="74" quotePrefix="0" pivotButton="0" fontId="7" applyFont="1" fillId="66" applyFill="1" borderId="70" applyBorder="1"/>
    <xf xfId="60" quotePrefix="0" pivotButton="0" fontId="1" applyFont="1" fillId="55" applyFill="1" borderId="57" applyBorder="1" applyAlignment="1">
      <alignment vertical="center" horizontal="right"/>
    </xf>
    <xf xfId="76" quotePrefix="0" pivotButton="0" fontId="8" applyFont="1" fillId="68" applyFill="1" borderId="72" applyBorder="1" applyAlignment="1">
      <alignment vertical="center" horizontal="center"/>
    </xf>
    <xf xfId="8" quotePrefix="0" pivotButton="0" fontId="7" applyFont="1" fillId="9" applyFill="1" borderId="8" applyBorder="1"/>
    <xf xfId="1" quotePrefix="0" pivotButton="0" fontId="1" applyFont="1" fillId="2" applyFill="1" borderId="1" applyBorder="1" applyAlignment="1">
      <alignment vertical="center" horizontal="right"/>
    </xf>
    <xf xfId="14" quotePrefix="0" pivotButton="0" fontId="8" applyFont="1" fillId="14" applyFill="1" borderId="14" applyBorder="1" applyAlignment="1">
      <alignment vertical="center" horizontal="center"/>
    </xf>
    <xf xfId="79" quotePrefix="0" pivotButton="0" fontId="13" applyFont="1" fillId="71" applyFill="1" borderId="73" applyBorder="1"/>
    <xf xfId="10" quotePrefix="0" pivotButton="0" fontId="8" applyFont="1" fillId="11" applyFill="1" borderId="10" applyBorder="1" applyAlignment="1">
      <alignment vertical="center" horizontal="center"/>
    </xf>
    <xf xfId="46" quotePrefix="0" pivotButton="0" fontId="13" applyFont="1" fillId="43" applyFill="1" borderId="45" applyBorder="1"/>
    <xf xfId="32" quotePrefix="0" pivotButton="0" fontId="2" applyFont="1" fillId="31" applyFill="1" borderId="32" applyBorder="1" applyAlignment="1">
      <alignment vertical="center" horizontal="right"/>
    </xf>
    <xf xfId="39" quotePrefix="0" pivotButton="0" fontId="13" applyFont="1" fillId="37" applyFill="1" borderId="39" applyBorder="1"/>
    <xf xfId="61" quotePrefix="0" pivotButton="0" fontId="2" applyFont="1" fillId="56" applyFill="1" borderId="58" applyBorder="1" applyAlignment="1">
      <alignment vertical="center" horizontal="right"/>
    </xf>
    <xf xfId="49" quotePrefix="0" pivotButton="0" fontId="14" applyFont="1" fillId="46" applyFill="1" applyAlignment="1">
      <alignment vertical="center" horizontal="center"/>
    </xf>
    <xf xfId="50" quotePrefix="0" pivotButton="0" fontId="16" applyFont="1" fillId="47" applyFill="1" applyAlignment="1">
      <alignment vertical="center" horizontal="center"/>
    </xf>
    <xf xfId="11" quotePrefix="0" pivotButton="0" fontId="5" applyFont="1" fillId="12" applyFill="1" borderId="11" applyBorder="1" applyAlignment="1">
      <alignment vertical="center" horizontal="center"/>
    </xf>
    <xf xfId="29" quotePrefix="0" pivotButton="0" fontId="12" applyFont="1" fillId="28" applyFill="1" borderId="29" applyBorder="1" applyAlignment="1">
      <alignment vertical="center" horizontal="left"/>
    </xf>
    <xf xfId="3" quotePrefix="0" pivotButton="0" fontId="3" applyFont="1" fillId="4" applyFill="1" borderId="3" applyBorder="1" applyAlignment="1">
      <alignment vertical="center" horizontal="left"/>
    </xf>
    <xf xfId="43" quotePrefix="0" pivotButton="0" fontId="3" applyFont="1" fillId="41" applyFill="1" borderId="42" applyBorder="1" applyAlignment="1">
      <alignment vertical="center" horizontal="left" wrapText="1"/>
    </xf>
    <xf xfId="45" quotePrefix="0" pivotButton="0" fontId="12" applyFont="1" fillId="42" applyFill="1" borderId="44" applyBorder="1" applyAlignment="1">
      <alignment vertical="center" horizontal="left"/>
    </xf>
    <xf xfId="52" quotePrefix="0" pivotButton="0" fontId="3" applyFont="1" fillId="49" applyFill="1" borderId="49" applyBorder="1" applyAlignment="1">
      <alignment vertical="center" horizontal="left"/>
    </xf>
    <xf xfId="20" quotePrefix="0" pivotButton="0" fontId="3" applyFont="1" fillId="19" applyFill="1" borderId="20" applyBorder="1" applyAlignment="1">
      <alignment vertical="center" horizontal="left" wrapText="1"/>
    </xf>
    <xf xfId="51" quotePrefix="0" pivotButton="0" fontId="12" applyFont="1" fillId="48" applyFill="1" borderId="48" applyBorder="1" applyAlignment="1">
      <alignment vertical="center" horizontal="left"/>
    </xf>
    <xf xfId="30" quotePrefix="0" pivotButton="0" fontId="3" applyFont="1" fillId="29" applyFill="1" borderId="30" applyBorder="1" applyAlignment="1">
      <alignment vertical="center" horizontal="left"/>
    </xf>
    <xf xfId="37" quotePrefix="0" pivotButton="0" fontId="3" applyFont="1" fillId="35" applyFill="1" borderId="37" applyBorder="1" applyAlignment="1">
      <alignment vertical="center" horizontal="left" wrapText="1"/>
    </xf>
    <xf xfId="5" quotePrefix="0" pivotButton="0" fontId="5" applyFont="1" fillId="6" applyFill="1" borderId="5" applyBorder="1" applyAlignment="1">
      <alignment vertical="center" horizontal="center"/>
    </xf>
    <xf xfId="54" quotePrefix="0" pivotButton="0" fontId="13" applyFont="1" fillId="51" applyFill="1" borderId="51" applyBorder="1"/>
    <xf xfId="16" quotePrefix="0" pivotButton="0" fontId="2" applyFont="1" fillId="16" applyFill="1" borderId="16" applyBorder="1" applyAlignment="1">
      <alignment vertical="center" horizontal="right"/>
    </xf>
    <xf xfId="47" quotePrefix="0" pivotButton="0" fontId="15" applyFont="1" fillId="44" applyFill="1" borderId="46" applyBorder="1" applyAlignment="1">
      <alignment vertical="center" horizontal="center"/>
    </xf>
    <xf xfId="9" quotePrefix="0" pivotButton="0" fontId="3" applyFont="1" fillId="10" applyFill="1" borderId="9" applyBorder="1"/>
    <xf xfId="42" quotePrefix="0" pivotButton="0" fontId="3" applyFont="1" fillId="40" applyFill="1" borderId="41" applyBorder="1"/>
    <xf xfId="78" quotePrefix="0" pivotButton="0" fontId="14" applyFont="1" fillId="70" applyFill="1" applyAlignment="1">
      <alignment vertical="center" horizontal="center"/>
    </xf>
    <xf xfId="34" quotePrefix="0" pivotButton="0" fontId="6" applyFont="1" fillId="33" applyFill="1" borderId="34" applyBorder="1" applyAlignment="1">
      <alignment vertical="center" horizontal="center"/>
    </xf>
    <xf xfId="80" quotePrefix="0" pivotButton="0" fontId="7" applyFont="1" fillId="72" applyFill="1" borderId="74" applyBorder="1"/>
    <xf xfId="36" quotePrefix="0" pivotButton="0" fontId="1" applyFont="1" fillId="34" applyFill="1" borderId="36" applyBorder="1" applyAlignment="1">
      <alignment vertical="center" horizontal="right"/>
    </xf>
    <xf xfId="33" quotePrefix="0" pivotButton="0" fontId="4" applyFont="1" fillId="32" applyFill="1" borderId="33" applyBorder="1" applyAlignment="1">
      <alignment vertical="center" horizontal="right"/>
    </xf>
    <xf xfId="58" quotePrefix="0" pivotButton="0" fontId="7" applyFont="1" fillId="54" applyFill="1" borderId="55" applyBorder="1"/>
    <xf xfId="21" quotePrefix="0" pivotButton="0" fontId="1" applyFont="1" fillId="20" applyFill="1" borderId="21" applyBorder="1" applyAlignment="1">
      <alignment vertical="center" horizontal="right"/>
    </xf>
    <xf xfId="26" quotePrefix="0" pivotButton="0" fontId="4" applyFont="1" fillId="25" applyFill="1" borderId="26" applyBorder="1" applyAlignment="1">
      <alignment vertical="center" horizontal="right"/>
    </xf>
    <xf xfId="4" quotePrefix="0" pivotButton="0" fontId="4" applyFont="1" fillId="5" applyFill="1" borderId="4" applyBorder="1" applyAlignment="1">
      <alignment vertical="center" horizontal="right"/>
    </xf>
    <xf xfId="41" quotePrefix="0" pivotButton="0" fontId="14" applyFont="1" fillId="39" applyFill="1" applyAlignment="1">
      <alignment vertical="center" horizontal="center"/>
    </xf>
    <xf xfId="68" quotePrefix="0" pivotButton="0" fontId="15" applyFont="1" fillId="62" applyFill="1" borderId="64" applyBorder="1" applyAlignment="1">
      <alignment vertical="center" horizontal="center"/>
    </xf>
    <xf xfId="31" quotePrefix="0" pivotButton="0" fontId="3" applyFont="1" fillId="30" applyFill="1" borderId="31" applyBorder="1" applyAlignment="1">
      <alignment vertical="center" horizontal="left"/>
    </xf>
    <xf xfId="40" quotePrefix="0" pivotButton="0" fontId="3" applyFont="1" fillId="38" applyFill="1" borderId="40" applyBorder="1" applyAlignment="1">
      <alignment vertical="center" horizontal="left" wrapText="1"/>
    </xf>
    <xf xfId="56" quotePrefix="0" pivotButton="0" fontId="9" applyFont="1" fillId="52" applyFill="1" borderId="53" applyBorder="1"/>
    <xf xfId="27" quotePrefix="0" pivotButton="0" fontId="9" applyFont="1" fillId="26" applyFill="1" borderId="27" applyBorder="1"/>
    <xf xfId="57" quotePrefix="0" pivotButton="0" fontId="11" applyFont="1" fillId="53" applyFill="1" borderId="54" applyBorder="1"/>
    <xf xfId="59" quotePrefix="0" pivotButton="0" fontId="18" applyFont="1" borderId="56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theme" Target="theme/theme1.xml"/>
<Relationship Id="rId8" Type="http://schemas.openxmlformats.org/officeDocument/2006/relationships/sharedStrings" Target="sharedStrings.xml"/>
<Relationship Id="rId9" Type="http://schemas.openxmlformats.org/officeDocument/2006/relationships/styles" Target="styles.xml"/>
<Relationship Id="rId10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2" topLeftCell="A3" activePane="bottomRight" state="frozen"/>
      <selection activeCell="A1" sqref="A1"/>
    </sheetView>
  </sheetViews>
  <sheetFormatPr defaultRowHeight="15.00" customHeight="1" defaultColWidth="9.20"/>
  <cols>
    <col min="1" max="1" width="38.02" customWidth="1" hidden="0"/>
    <col min="2" max="5" width="18.03" customWidth="1" hidden="0"/>
    <col min="6" max="6" width="21.95" customWidth="1" hidden="0"/>
  </cols>
  <sheetData>
    <row r="1" ht="30.00" customHeight="true">
      <c r="A1" s="1" t="s">
        <v>0</v>
      </c>
    </row>
    <row r="2" ht="15.00" customHeight="true">
      <c r="A2" s="2" t="s">
        <v>1</v>
      </c>
    </row>
    <row r="4" ht="15.00" customHeight="true">
      <c r="A4" s="3" t="s">
        <v>2</v>
      </c>
      <c r="B4" s="4"/>
      <c r="C4" s="4"/>
      <c r="D4" s="4"/>
      <c r="E4" s="5"/>
    </row>
    <row r="5" ht="15.00" customHeight="tru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15.00" customHeight="true">
      <c r="A6" s="7" t="s">
        <v>9</v>
      </c>
      <c r="B6" s="8">
        <v>2</v>
      </c>
      <c r="C6" s="8">
        <v>4</v>
      </c>
      <c r="D6" s="8">
        <v>8</v>
      </c>
      <c r="E6" s="9" t="s">
        <v>10</v>
      </c>
      <c r="F6" s="10"/>
    </row>
    <row r="7" ht="15.00" customHeight="true">
      <c r="A7" s="7" t="s">
        <v>11</v>
      </c>
      <c r="B7" s="8">
        <v>35000</v>
      </c>
      <c r="C7" s="8">
        <v>40000</v>
      </c>
      <c r="D7" s="8">
        <v>50000</v>
      </c>
      <c r="E7" s="9" t="s">
        <v>12</v>
      </c>
      <c r="F7" s="10"/>
    </row>
    <row r="8" ht="15.00" customHeight="true">
      <c r="A8" s="7" t="s">
        <v>13</v>
      </c>
      <c r="B8" s="8">
        <v>0.28</v>
      </c>
      <c r="C8" s="8">
        <v>0.3</v>
      </c>
      <c r="D8" s="8">
        <v>0.33</v>
      </c>
      <c r="E8" s="9" t="s">
        <v>14</v>
      </c>
      <c r="F8" s="10"/>
    </row>
    <row r="9" ht="15.00" customHeight="true">
      <c r="A9" s="7" t="s">
        <v>15</v>
      </c>
      <c r="B9" s="8">
        <v>3</v>
      </c>
      <c r="C9" s="8">
        <v>2</v>
      </c>
      <c r="D9" s="8">
        <v>1</v>
      </c>
      <c r="E9" s="9" t="s">
        <v>16</v>
      </c>
      <c r="F9" s="10"/>
    </row>
    <row r="10" ht="15.00" customHeight="true">
      <c r="A10" s="7" t="s">
        <v>17</v>
      </c>
      <c r="B10" s="8">
        <v>0.05</v>
      </c>
      <c r="C10" s="8">
        <v>0.12</v>
      </c>
      <c r="D10" s="8">
        <v>0.2</v>
      </c>
      <c r="E10" s="9" t="s">
        <v>14</v>
      </c>
      <c r="F10" s="10"/>
    </row>
    <row r="11" ht="15.00" customHeight="true">
      <c r="A11" s="7" t="s">
        <v>18</v>
      </c>
      <c r="B11" s="8">
        <v>90</v>
      </c>
      <c r="C11" s="8">
        <v>60</v>
      </c>
      <c r="D11" s="8">
        <v>30</v>
      </c>
      <c r="E11" s="9" t="s">
        <v>19</v>
      </c>
      <c r="F11" s="10"/>
    </row>
    <row r="12" ht="15.00" customHeight="true">
      <c r="A12" s="7" t="s">
        <v>20</v>
      </c>
      <c r="B12" s="8">
        <v>0</v>
      </c>
      <c r="C12" s="8">
        <v>3000</v>
      </c>
      <c r="D12" s="8">
        <v>8000</v>
      </c>
      <c r="E12" s="9" t="s">
        <v>21</v>
      </c>
      <c r="F12" s="10"/>
    </row>
    <row r="14" ht="15.00" customHeight="true">
      <c r="A14" s="11" t="s">
        <v>22</v>
      </c>
      <c r="B14" s="4"/>
      <c r="C14" s="4"/>
      <c r="D14" s="4"/>
      <c r="E14" s="5"/>
    </row>
    <row r="15" ht="15.00" customHeight="true">
      <c r="A15" s="12" t="s">
        <v>23</v>
      </c>
      <c r="B15" s="12" t="s">
        <v>4</v>
      </c>
      <c r="C15" s="12" t="s">
        <v>24</v>
      </c>
      <c r="D15" s="12" t="s">
        <v>6</v>
      </c>
      <c r="E15" s="12" t="s">
        <v>7</v>
      </c>
      <c r="F15" s="13" t="s">
        <v>8</v>
      </c>
    </row>
    <row r="16" ht="15.00" customHeight="true">
      <c r="A16" s="7" t="s">
        <v>25</v>
      </c>
      <c r="B16" s="8">
        <v>800</v>
      </c>
      <c r="C16" s="8">
        <v>1200</v>
      </c>
      <c r="D16" s="8">
        <v>1500</v>
      </c>
      <c r="E16" s="9" t="s">
        <v>21</v>
      </c>
      <c r="F16" s="14" t="s">
        <v>26</v>
      </c>
    </row>
    <row r="17" ht="15.00" customHeight="true">
      <c r="A17" s="7" t="s">
        <v>27</v>
      </c>
      <c r="B17" s="8">
        <v>600</v>
      </c>
      <c r="C17" s="8">
        <v>800</v>
      </c>
      <c r="D17" s="8">
        <v>1000</v>
      </c>
      <c r="E17" s="9" t="s">
        <v>21</v>
      </c>
      <c r="F17" s="14" t="s">
        <v>28</v>
      </c>
    </row>
    <row r="18" ht="15.00" customHeight="true">
      <c r="A18" s="7" t="s">
        <v>29</v>
      </c>
      <c r="B18" s="8">
        <v>800</v>
      </c>
      <c r="C18" s="8">
        <v>1500</v>
      </c>
      <c r="D18" s="8">
        <v>2500</v>
      </c>
      <c r="E18" s="9" t="s">
        <v>21</v>
      </c>
      <c r="F18" s="14" t="s">
        <v>30</v>
      </c>
    </row>
    <row r="19" ht="15.00" customHeight="true">
      <c r="A19" s="7" t="s">
        <v>31</v>
      </c>
      <c r="B19" s="8">
        <v>600</v>
      </c>
      <c r="C19" s="8">
        <v>1000</v>
      </c>
      <c r="D19" s="8">
        <v>1500</v>
      </c>
      <c r="E19" s="9" t="s">
        <v>21</v>
      </c>
      <c r="F19" s="14" t="s">
        <v>32</v>
      </c>
    </row>
    <row r="20" ht="15.00" customHeight="true">
      <c r="A20" s="7" t="s">
        <v>33</v>
      </c>
      <c r="B20" s="8">
        <v>400</v>
      </c>
      <c r="C20" s="8">
        <v>500</v>
      </c>
      <c r="D20" s="8">
        <v>700</v>
      </c>
      <c r="E20" s="9" t="s">
        <v>21</v>
      </c>
      <c r="F20" s="14" t="s">
        <v>34</v>
      </c>
    </row>
    <row r="21" ht="15.00" customHeight="true">
      <c r="A21" s="7" t="s">
        <v>35</v>
      </c>
      <c r="B21" s="8">
        <v>100</v>
      </c>
      <c r="C21" s="8">
        <v>100</v>
      </c>
      <c r="D21" s="8">
        <v>100</v>
      </c>
      <c r="E21" s="9" t="s">
        <v>21</v>
      </c>
      <c r="F21" s="14" t="s">
        <v>36</v>
      </c>
    </row>
    <row r="22" ht="15.00" customHeight="true">
      <c r="A22" s="7" t="s">
        <v>37</v>
      </c>
      <c r="B22" s="8">
        <v>200</v>
      </c>
      <c r="C22" s="8">
        <v>400</v>
      </c>
      <c r="D22" s="8">
        <v>600</v>
      </c>
      <c r="E22" s="9" t="s">
        <v>21</v>
      </c>
      <c r="F22" s="14" t="s">
        <v>38</v>
      </c>
    </row>
    <row r="23" ht="15.00" customHeight="true">
      <c r="A23" s="7" t="s">
        <v>39</v>
      </c>
      <c r="B23" s="8">
        <v>300</v>
      </c>
      <c r="C23" s="8">
        <v>500</v>
      </c>
      <c r="D23" s="8">
        <v>800</v>
      </c>
      <c r="E23" s="9" t="s">
        <v>21</v>
      </c>
      <c r="F23" s="14"/>
    </row>
    <row r="24" ht="15.00" customHeight="true">
      <c r="A24" s="15" t="s">
        <v>40</v>
      </c>
      <c r="B24" s="16">
        <f>=SUM(B16:B23)</f>
      </c>
      <c r="C24" s="16">
        <f>=SUM(C16:C23)</f>
      </c>
      <c r="D24" s="16">
        <f>=SUM(D16:D23)</f>
      </c>
      <c r="E24" s="10"/>
      <c r="F24" s="10"/>
    </row>
    <row r="26" ht="15.00" customHeight="true">
      <c r="A26" s="17" t="s">
        <v>41</v>
      </c>
      <c r="B26" s="4"/>
      <c r="C26" s="4"/>
      <c r="D26" s="4"/>
      <c r="E26" s="5"/>
    </row>
    <row r="27" ht="15.00" customHeight="true">
      <c r="A27" s="18" t="s">
        <v>42</v>
      </c>
      <c r="B27" s="18" t="s">
        <v>43</v>
      </c>
      <c r="C27" s="18" t="s">
        <v>44</v>
      </c>
      <c r="D27" s="18" t="s">
        <v>45</v>
      </c>
      <c r="E27" s="18" t="s">
        <v>7</v>
      </c>
      <c r="F27" s="19" t="s">
        <v>46</v>
      </c>
    </row>
    <row r="28" ht="15.00" customHeight="true">
      <c r="A28" s="7" t="s">
        <v>47</v>
      </c>
      <c r="B28" s="8">
        <v>1500</v>
      </c>
      <c r="C28" s="8">
        <v>2500</v>
      </c>
      <c r="D28" s="8">
        <v>4000</v>
      </c>
      <c r="E28" s="9" t="s">
        <v>48</v>
      </c>
      <c r="F28" s="14" t="s">
        <v>49</v>
      </c>
    </row>
    <row r="29" ht="15.00" customHeight="true">
      <c r="A29" s="7" t="s">
        <v>50</v>
      </c>
      <c r="B29" s="8">
        <v>500</v>
      </c>
      <c r="C29" s="8">
        <v>1200</v>
      </c>
      <c r="D29" s="8">
        <v>2500</v>
      </c>
      <c r="E29" s="9" t="s">
        <v>48</v>
      </c>
      <c r="F29" s="14" t="s">
        <v>51</v>
      </c>
    </row>
    <row r="30" ht="15.00" customHeight="true">
      <c r="A30" s="7" t="s">
        <v>52</v>
      </c>
      <c r="B30" s="8">
        <v>300</v>
      </c>
      <c r="C30" s="8">
        <v>600</v>
      </c>
      <c r="D30" s="8">
        <v>1000</v>
      </c>
      <c r="E30" s="9" t="s">
        <v>48</v>
      </c>
      <c r="F30" s="14" t="s">
        <v>53</v>
      </c>
    </row>
    <row r="31" ht="15.00" customHeight="true">
      <c r="A31" s="7" t="s">
        <v>54</v>
      </c>
      <c r="B31" s="8">
        <v>0</v>
      </c>
      <c r="C31" s="8">
        <v>500</v>
      </c>
      <c r="D31" s="8">
        <v>1000</v>
      </c>
      <c r="E31" s="9" t="s">
        <v>48</v>
      </c>
      <c r="F31" s="14" t="s">
        <v>55</v>
      </c>
    </row>
    <row r="32" ht="15.00" customHeight="true">
      <c r="A32" s="7" t="s">
        <v>56</v>
      </c>
      <c r="B32" s="8">
        <v>25000</v>
      </c>
      <c r="C32" s="8">
        <v>35000</v>
      </c>
      <c r="D32" s="8">
        <v>50000</v>
      </c>
      <c r="E32" s="9" t="s">
        <v>48</v>
      </c>
      <c r="F32" s="14" t="s">
        <v>57</v>
      </c>
    </row>
    <row r="33" ht="15.00" customHeight="true">
      <c r="A33" s="7" t="s">
        <v>58</v>
      </c>
      <c r="B33" s="8">
        <v>5000</v>
      </c>
      <c r="C33" s="8">
        <v>10000</v>
      </c>
      <c r="D33" s="8">
        <v>20000</v>
      </c>
      <c r="E33" s="9" t="s">
        <v>48</v>
      </c>
      <c r="F33" s="14" t="s">
        <v>59</v>
      </c>
    </row>
    <row r="34" ht="15.00" customHeight="true">
      <c r="A34" s="7" t="s">
        <v>60</v>
      </c>
      <c r="B34" s="8">
        <v>1000</v>
      </c>
      <c r="C34" s="8">
        <v>2000</v>
      </c>
      <c r="D34" s="8">
        <v>4000</v>
      </c>
      <c r="E34" s="9" t="s">
        <v>48</v>
      </c>
      <c r="F34" s="14" t="s">
        <v>61</v>
      </c>
    </row>
    <row r="35" ht="15.00" customHeight="true">
      <c r="A35" s="7" t="s">
        <v>62</v>
      </c>
      <c r="B35" s="8">
        <v>0</v>
      </c>
      <c r="C35" s="8">
        <v>2000</v>
      </c>
      <c r="D35" s="8">
        <v>5000</v>
      </c>
      <c r="E35" s="9" t="s">
        <v>48</v>
      </c>
      <c r="F35" s="14" t="s">
        <v>63</v>
      </c>
    </row>
    <row r="36" ht="15.00" customHeight="true">
      <c r="A36" s="20" t="s">
        <v>64</v>
      </c>
      <c r="B36" s="21">
        <f>=SUM(B28:B35)</f>
      </c>
      <c r="C36" s="21">
        <f>=SUM(C28:C35)</f>
      </c>
      <c r="D36" s="21">
        <f>=SUM(D28:D35)</f>
      </c>
      <c r="E36" s="10"/>
      <c r="F36" s="10"/>
    </row>
  </sheetData>
  <mergeCells count="5">
    <mergeCell ref="A2:F2"/>
    <mergeCell ref="A4:E4"/>
    <mergeCell ref="A26:E26"/>
    <mergeCell ref="A1:F1"/>
    <mergeCell ref="A14:E1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32.01" customWidth="1" hidden="0"/>
    <col min="2" max="13" width="13.00" customWidth="1" hidden="0"/>
    <col min="14" max="14" width="15.94" customWidth="1" hidden="0"/>
  </cols>
  <sheetData>
    <row r="1" ht="27.75" customHeight="true">
      <c r="A1" s="22" t="s">
        <v>65</v>
      </c>
    </row>
    <row r="2" ht="15.00" customHeight="true">
      <c r="A2" s="2" t="s">
        <v>66</v>
      </c>
    </row>
    <row r="4" ht="15.00" customHeight="true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  <c r="H4" s="6" t="s">
        <v>74</v>
      </c>
      <c r="I4" s="6" t="s">
        <v>75</v>
      </c>
      <c r="J4" s="6" t="s">
        <v>76</v>
      </c>
      <c r="K4" s="6" t="s">
        <v>77</v>
      </c>
      <c r="L4" s="6" t="s">
        <v>78</v>
      </c>
      <c r="M4" s="6" t="s">
        <v>79</v>
      </c>
      <c r="N4" s="6" t="s">
        <v>80</v>
      </c>
    </row>
    <row r="5" ht="15.00" customHeight="true">
      <c r="A5" s="23" t="s">
        <v>81</v>
      </c>
    </row>
    <row r="6" ht="15.00" customHeight="true">
      <c r="A6" s="7" t="s">
        <v>82</v>
      </c>
      <c r="B6" s="24">
        <f>=ROUND('1_Premissas'!C7*0.4,0)</f>
      </c>
      <c r="C6" s="24">
        <f>=ROUND('1_Premissas'!C7*0.4,0)</f>
      </c>
      <c r="D6" s="24">
        <f>=ROUND('1_Premissas'!C7*0.7,0)</f>
      </c>
      <c r="E6" s="24">
        <f>=ROUND('1_Premissas'!C7*1.0,0)</f>
      </c>
      <c r="F6" s="24">
        <f>=ROUND('1_Premissas'!C7*1.0,0)</f>
      </c>
      <c r="G6" s="24">
        <f>=ROUND('1_Premissas'!C7*1.0,0)</f>
      </c>
      <c r="H6" s="24">
        <f>=ROUND('1_Premissas'!C7*1.0,0)</f>
      </c>
      <c r="I6" s="24">
        <f>=ROUND('1_Premissas'!C7*1.0,0)</f>
      </c>
      <c r="J6" s="24">
        <f>=ROUND('1_Premissas'!C7*1.0,0)</f>
      </c>
      <c r="K6" s="24">
        <f>=ROUND('1_Premissas'!C7*1.0,0)</f>
      </c>
      <c r="L6" s="24">
        <f>=ROUND('1_Premissas'!C7*1.0,0)</f>
      </c>
      <c r="M6" s="24">
        <f>=ROUND('1_Premissas'!C7*1.0,0)</f>
      </c>
    </row>
    <row r="7" ht="15.00" customHeight="true">
      <c r="A7" s="7" t="s">
        <v>83</v>
      </c>
      <c r="B7" s="24">
        <f>='1_Premissas'!C8</f>
      </c>
      <c r="C7" s="24">
        <f>='1_Premissas'!C8</f>
      </c>
      <c r="D7" s="24">
        <f>='1_Premissas'!C8</f>
      </c>
      <c r="E7" s="24">
        <f>='1_Premissas'!C8</f>
      </c>
      <c r="F7" s="24">
        <f>='1_Premissas'!C8</f>
      </c>
      <c r="G7" s="24">
        <f>='1_Premissas'!C8</f>
      </c>
      <c r="H7" s="24">
        <f>='1_Premissas'!C8</f>
      </c>
      <c r="I7" s="24">
        <f>='1_Premissas'!C8</f>
      </c>
      <c r="J7" s="24">
        <f>='1_Premissas'!C8</f>
      </c>
      <c r="K7" s="24">
        <f>='1_Premissas'!C8</f>
      </c>
      <c r="L7" s="24">
        <f>='1_Premissas'!C8</f>
      </c>
      <c r="M7" s="24">
        <f>='1_Premissas'!C8</f>
      </c>
    </row>
    <row r="8" ht="15.00" customHeight="true">
      <c r="A8" s="7" t="s">
        <v>13</v>
      </c>
      <c r="B8" s="24">
        <f>='1_Premissas'!C9</f>
      </c>
      <c r="C8" s="24">
        <f>='1_Premissas'!C9</f>
      </c>
      <c r="D8" s="24">
        <f>='1_Premissas'!C9</f>
      </c>
      <c r="E8" s="24">
        <f>='1_Premissas'!C9</f>
      </c>
      <c r="F8" s="24">
        <f>='1_Premissas'!C9</f>
      </c>
      <c r="G8" s="24">
        <f>='1_Premissas'!C9</f>
      </c>
      <c r="H8" s="24">
        <f>='1_Premissas'!C9</f>
      </c>
      <c r="I8" s="24">
        <f>='1_Premissas'!C9</f>
      </c>
      <c r="J8" s="24">
        <f>='1_Premissas'!C9</f>
      </c>
      <c r="K8" s="24">
        <f>='1_Premissas'!C9</f>
      </c>
      <c r="L8" s="24">
        <f>='1_Premissas'!C9</f>
      </c>
      <c r="M8" s="24">
        <f>='1_Premissas'!C9</f>
      </c>
    </row>
    <row r="10" ht="15.00" customHeight="true">
      <c r="A10" s="3" t="s">
        <v>84</v>
      </c>
    </row>
    <row r="11" ht="15.00" customHeight="true">
      <c r="A11" s="7" t="s">
        <v>85</v>
      </c>
      <c r="B11" s="25">
        <f>=B6*B7</f>
      </c>
      <c r="C11" s="25">
        <f>=C6*C7</f>
      </c>
      <c r="D11" s="25">
        <f>=D6*D7</f>
      </c>
      <c r="E11" s="25">
        <f>=E6*E7</f>
      </c>
      <c r="F11" s="25">
        <f>=F6*F7</f>
      </c>
      <c r="G11" s="25">
        <f>=G6*G7</f>
      </c>
      <c r="H11" s="25">
        <f>=H6*H7</f>
      </c>
      <c r="I11" s="25">
        <f>=I6*I7</f>
      </c>
      <c r="J11" s="25">
        <f>=J6*J7</f>
      </c>
      <c r="K11" s="25">
        <f>=K6*K7</f>
      </c>
      <c r="L11" s="25">
        <f>=L6*L7</f>
      </c>
      <c r="M11" s="25">
        <f>=M6*M7</f>
      </c>
    </row>
    <row r="12" ht="15.00" customHeight="true">
      <c r="A12" s="7" t="s">
        <v>86</v>
      </c>
      <c r="B12" s="24">
        <f>='1_Premissas'!C11</f>
      </c>
      <c r="C12" s="24">
        <f>='1_Premissas'!C11</f>
      </c>
      <c r="D12" s="24">
        <f>='1_Premissas'!C11</f>
      </c>
      <c r="E12" s="24">
        <f>='1_Premissas'!C11</f>
      </c>
      <c r="F12" s="24">
        <f>='1_Premissas'!C11</f>
      </c>
      <c r="G12" s="24">
        <f>='1_Premissas'!C11</f>
      </c>
      <c r="H12" s="24">
        <f>='1_Premissas'!C11</f>
      </c>
      <c r="I12" s="24">
        <f>='1_Premissas'!C11</f>
      </c>
      <c r="J12" s="24">
        <f>='1_Premissas'!C11</f>
      </c>
      <c r="K12" s="24">
        <f>='1_Premissas'!C11</f>
      </c>
      <c r="L12" s="24">
        <f>='1_Premissas'!C11</f>
      </c>
      <c r="M12" s="24">
        <f>='1_Premissas'!C11</f>
      </c>
    </row>
    <row r="13" ht="15.00" customHeight="true">
      <c r="A13" s="26" t="s">
        <v>87</v>
      </c>
      <c r="B13" s="27">
        <f>=B11+B12</f>
      </c>
      <c r="C13" s="27">
        <f>=C11+C12</f>
      </c>
      <c r="D13" s="27">
        <f>=D11+D12</f>
      </c>
      <c r="E13" s="27">
        <f>=E11+E12</f>
      </c>
      <c r="F13" s="27">
        <f>=F11+F12</f>
      </c>
      <c r="G13" s="27">
        <f>=G11+G12</f>
      </c>
      <c r="H13" s="27">
        <f>=H11+H12</f>
      </c>
      <c r="I13" s="27">
        <f>=I11+I12</f>
      </c>
      <c r="J13" s="27">
        <f>=J11+J12</f>
      </c>
      <c r="K13" s="27">
        <f>=K11+K12</f>
      </c>
      <c r="L13" s="27">
        <f>=L11+L12</f>
      </c>
      <c r="M13" s="27">
        <f>=M11+M12</f>
      </c>
      <c r="N13" s="27">
        <f>=SUM(B13:M13)</f>
      </c>
    </row>
    <row r="15" ht="15.00" customHeight="true">
      <c r="A15" s="28" t="s">
        <v>88</v>
      </c>
    </row>
    <row r="16" ht="15.00" customHeight="true">
      <c r="A16" s="7" t="s">
        <v>89</v>
      </c>
      <c r="B16" s="25">
        <f>=B11*(1-B8)</f>
      </c>
      <c r="C16" s="25">
        <f>=C11*(1-C8)</f>
      </c>
      <c r="D16" s="25">
        <f>=D11*(1-D8)</f>
      </c>
      <c r="E16" s="25">
        <f>=E11*(1-E8)</f>
      </c>
      <c r="F16" s="25">
        <f>=F11*(1-F8)</f>
      </c>
      <c r="G16" s="25">
        <f>=G11*(1-G8)</f>
      </c>
      <c r="H16" s="25">
        <f>=H11*(1-H8)</f>
      </c>
      <c r="I16" s="25">
        <f>=I11*(1-I8)</f>
      </c>
      <c r="J16" s="25">
        <f>=J11*(1-J8)</f>
      </c>
      <c r="K16" s="25">
        <f>=K11*(1-K8)</f>
      </c>
      <c r="L16" s="25">
        <f>=L11*(1-L8)</f>
      </c>
      <c r="M16" s="25">
        <f>=M11*(1-M8)</f>
      </c>
    </row>
    <row r="17" ht="15.00" customHeight="true">
      <c r="A17" s="7" t="s">
        <v>90</v>
      </c>
      <c r="B17" s="24">
        <f>='1_Premissas'!C24</f>
      </c>
      <c r="C17" s="24">
        <f>='1_Premissas'!C24</f>
      </c>
      <c r="D17" s="24">
        <f>='1_Premissas'!C24</f>
      </c>
      <c r="E17" s="24">
        <f>='1_Premissas'!C24</f>
      </c>
      <c r="F17" s="24">
        <f>='1_Premissas'!C24</f>
      </c>
      <c r="G17" s="24">
        <f>='1_Premissas'!C24</f>
      </c>
      <c r="H17" s="24">
        <f>='1_Premissas'!C24</f>
      </c>
      <c r="I17" s="24">
        <f>='1_Premissas'!C24</f>
      </c>
      <c r="J17" s="24">
        <f>='1_Premissas'!C24</f>
      </c>
      <c r="K17" s="24">
        <f>='1_Premissas'!C24</f>
      </c>
      <c r="L17" s="24">
        <f>='1_Premissas'!C24</f>
      </c>
      <c r="M17" s="24">
        <f>='1_Premissas'!C24</f>
      </c>
    </row>
    <row r="18" ht="15.00" customHeight="true">
      <c r="A18" s="7" t="s">
        <v>91</v>
      </c>
      <c r="B18" s="25">
        <f>=B13*0.09</f>
      </c>
      <c r="C18" s="25">
        <f>=C13*0.09</f>
      </c>
      <c r="D18" s="25">
        <f>=D13*0.09</f>
      </c>
      <c r="E18" s="25">
        <f>=E13*0.09</f>
      </c>
      <c r="F18" s="25">
        <f>=F13*0.09</f>
      </c>
      <c r="G18" s="25">
        <f>=G13*0.09</f>
      </c>
      <c r="H18" s="25">
        <f>=H13*0.09</f>
      </c>
      <c r="I18" s="25">
        <f>=I13*0.09</f>
      </c>
      <c r="J18" s="25">
        <f>=J13*0.09</f>
      </c>
      <c r="K18" s="25">
        <f>=K13*0.09</f>
      </c>
      <c r="L18" s="25">
        <f>=L13*0.09</f>
      </c>
      <c r="M18" s="25">
        <f>=M13*0.09</f>
      </c>
    </row>
    <row r="19" ht="15.00" customHeight="true">
      <c r="A19" s="29" t="s">
        <v>92</v>
      </c>
      <c r="B19" s="30">
        <f>=B16+B17+B18</f>
      </c>
      <c r="C19" s="30">
        <f>=C16+C17+C18</f>
      </c>
      <c r="D19" s="30">
        <f>=D16+D17+D18</f>
      </c>
      <c r="E19" s="30">
        <f>=E16+E17+E18</f>
      </c>
      <c r="F19" s="30">
        <f>=F16+F17+F18</f>
      </c>
      <c r="G19" s="30">
        <f>=G16+G17+G18</f>
      </c>
      <c r="H19" s="30">
        <f>=H16+H17+H18</f>
      </c>
      <c r="I19" s="30">
        <f>=I16+I17+I18</f>
      </c>
      <c r="J19" s="30">
        <f>=J16+J17+J18</f>
      </c>
      <c r="K19" s="30">
        <f>=K16+K17+K18</f>
      </c>
      <c r="L19" s="30">
        <f>=L16+L17+L18</f>
      </c>
      <c r="M19" s="30">
        <f>=M16+M17+M18</f>
      </c>
      <c r="N19" s="30">
        <f>=SUM(B19:M19)</f>
      </c>
    </row>
    <row r="21" ht="15.00" customHeight="true">
      <c r="A21" s="31" t="s">
        <v>93</v>
      </c>
    </row>
    <row r="22" ht="15.00" customHeight="true">
      <c r="A22" s="7" t="s">
        <v>94</v>
      </c>
      <c r="B22" s="25">
        <f>=B11*B8</f>
      </c>
      <c r="C22" s="25">
        <f>=C11*C8</f>
      </c>
      <c r="D22" s="25">
        <f>=D11*D8</f>
      </c>
      <c r="E22" s="25">
        <f>=E11*E8</f>
      </c>
      <c r="F22" s="25">
        <f>=F11*F8</f>
      </c>
      <c r="G22" s="25">
        <f>=G11*G8</f>
      </c>
      <c r="H22" s="25">
        <f>=H11*H8</f>
      </c>
      <c r="I22" s="25">
        <f>=I11*I8</f>
      </c>
      <c r="J22" s="25">
        <f>=J11*J8</f>
      </c>
      <c r="K22" s="25">
        <f>=K11*K8</f>
      </c>
      <c r="L22" s="25">
        <f>=L11*L8</f>
      </c>
      <c r="M22" s="25">
        <f>=M11*M8</f>
      </c>
      <c r="N22" s="25">
        <f>=SUM(B22:M22)</f>
      </c>
    </row>
    <row r="23" ht="15.00" customHeight="true">
      <c r="A23" s="32" t="s">
        <v>95</v>
      </c>
      <c r="B23" s="33">
        <f>=B13-B17-B18</f>
      </c>
      <c r="C23" s="33">
        <f>=C13-C17-C18</f>
      </c>
      <c r="D23" s="33">
        <f>=D13-D17-D18</f>
      </c>
      <c r="E23" s="33">
        <f>=E13-E17-E18</f>
      </c>
      <c r="F23" s="33">
        <f>=F13-F17-F18</f>
      </c>
      <c r="G23" s="33">
        <f>=G13-G17-G18</f>
      </c>
      <c r="H23" s="33">
        <f>=H13-H17-H18</f>
      </c>
      <c r="I23" s="33">
        <f>=I13-I17-I18</f>
      </c>
      <c r="J23" s="33">
        <f>=J13-J17-J18</f>
      </c>
      <c r="K23" s="33">
        <f>=K13-K17-K18</f>
      </c>
      <c r="L23" s="33">
        <f>=L13-L17-L18</f>
      </c>
      <c r="M23" s="33">
        <f>=M13-M17-M18</f>
      </c>
      <c r="N23" s="33">
        <f>=SUM(B23:M23)</f>
      </c>
    </row>
    <row r="24" ht="15.00" customHeight="true">
      <c r="A24" s="34" t="s">
        <v>96</v>
      </c>
      <c r="B24" s="35">
        <f>=B13-B19</f>
      </c>
      <c r="C24" s="35">
        <f>=C13-C19</f>
      </c>
      <c r="D24" s="35">
        <f>=D13-D19</f>
      </c>
      <c r="E24" s="35">
        <f>=E13-E19</f>
      </c>
      <c r="F24" s="35">
        <f>=F13-F19</f>
      </c>
      <c r="G24" s="35">
        <f>=G13-G19</f>
      </c>
      <c r="H24" s="35">
        <f>=H13-H19</f>
      </c>
      <c r="I24" s="35">
        <f>=I13-I19</f>
      </c>
      <c r="J24" s="35">
        <f>=J13-J19</f>
      </c>
      <c r="K24" s="35">
        <f>=K13-K19</f>
      </c>
      <c r="L24" s="35">
        <f>=L13-L19</f>
      </c>
      <c r="M24" s="35">
        <f>=M13-M19</f>
      </c>
      <c r="N24" s="35">
        <f>=SUM(B24:M24)</f>
      </c>
    </row>
    <row r="25" ht="15.00" customHeight="true">
      <c r="A25" s="7" t="s">
        <v>97</v>
      </c>
      <c r="B25" s="25">
        <f>=IF(B13=0,0,B24/B13)</f>
      </c>
      <c r="C25" s="25">
        <f>=IF(C13=0,0,C24/C13)</f>
      </c>
      <c r="D25" s="25">
        <f>=IF(D13=0,0,D24/D13)</f>
      </c>
      <c r="E25" s="25">
        <f>=IF(E13=0,0,E24/E13)</f>
      </c>
      <c r="F25" s="25">
        <f>=IF(F13=0,0,F24/F13)</f>
      </c>
      <c r="G25" s="25">
        <f>=IF(G13=0,0,G24/G13)</f>
      </c>
      <c r="H25" s="25">
        <f>=IF(H13=0,0,H24/H13)</f>
      </c>
      <c r="I25" s="25">
        <f>=IF(I13=0,0,I24/I13)</f>
      </c>
      <c r="J25" s="25">
        <f>=IF(J13=0,0,J24/J13)</f>
      </c>
      <c r="K25" s="25">
        <f>=IF(K13=0,0,K24/K13)</f>
      </c>
      <c r="L25" s="25">
        <f>=IF(L13=0,0,L24/L13)</f>
      </c>
      <c r="M25" s="25">
        <f>=IF(M13=0,0,M24/M13)</f>
      </c>
      <c r="N25" s="25">
        <f>=IF(N13=0,0,N24/N13)</f>
      </c>
    </row>
    <row r="27" ht="15.00" customHeight="true">
      <c r="A27" s="36" t="s">
        <v>98</v>
      </c>
      <c r="B27" s="21">
        <f>=-'1_Premissas'!C36+B24</f>
      </c>
      <c r="C27" s="21">
        <f>=B27+C24</f>
      </c>
      <c r="D27" s="21">
        <f>=C27+D24</f>
      </c>
      <c r="E27" s="21">
        <f>=D27+E24</f>
      </c>
      <c r="F27" s="21">
        <f>=E27+F24</f>
      </c>
      <c r="G27" s="21">
        <f>=F27+G24</f>
      </c>
      <c r="H27" s="21">
        <f>=G27+H24</f>
      </c>
      <c r="I27" s="21">
        <f>=H27+I24</f>
      </c>
      <c r="J27" s="21">
        <f>=I27+J24</f>
      </c>
      <c r="K27" s="21">
        <f>=J27+K24</f>
      </c>
      <c r="L27" s="21">
        <f>=K27+L24</f>
      </c>
      <c r="M27" s="21">
        <f>=L27+M24</f>
      </c>
    </row>
  </sheetData>
  <mergeCells count="2">
    <mergeCell ref="A2:N2"/>
    <mergeCell ref="A1:N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36.06" customWidth="1" hidden="0"/>
    <col min="2" max="5" width="19.99" customWidth="1" hidden="0"/>
  </cols>
  <sheetData>
    <row r="1" ht="27.75" customHeight="true">
      <c r="A1" s="1" t="s">
        <v>99</v>
      </c>
    </row>
    <row r="3" ht="15.00" customHeight="true">
      <c r="A3" s="6" t="s">
        <v>100</v>
      </c>
      <c r="B3" s="6" t="s">
        <v>4</v>
      </c>
      <c r="C3" s="6" t="s">
        <v>5</v>
      </c>
      <c r="D3" s="6" t="s">
        <v>6</v>
      </c>
      <c r="E3" s="6" t="s">
        <v>7</v>
      </c>
    </row>
    <row r="4" ht="15.00" customHeight="true">
      <c r="A4" s="37" t="s">
        <v>101</v>
      </c>
      <c r="B4" s="38">
        <f>='1_Premissas'!B7</f>
      </c>
      <c r="C4" s="38">
        <f>='1_Premissas'!C7</f>
      </c>
      <c r="D4" s="38">
        <f>='1_Premissas'!D7</f>
      </c>
      <c r="E4" s="39" t="s">
        <v>10</v>
      </c>
    </row>
    <row r="5" ht="15.00" customHeight="true">
      <c r="A5" s="40" t="s">
        <v>102</v>
      </c>
      <c r="B5" s="41">
        <f>='1_Premissas'!B8</f>
      </c>
      <c r="C5" s="41">
        <f>='1_Premissas'!C8</f>
      </c>
      <c r="D5" s="41">
        <f>='1_Premissas'!D8</f>
      </c>
      <c r="E5" s="42" t="s">
        <v>48</v>
      </c>
    </row>
    <row r="6" ht="15.00" customHeight="true">
      <c r="A6" s="37" t="s">
        <v>103</v>
      </c>
      <c r="B6" s="38">
        <f>='1_Premissas'!B7*'1_Premissas'!B8+'1_Premissas'!B11</f>
      </c>
      <c r="C6" s="38">
        <f>='1_Premissas'!C7*'1_Premissas'!C8+'1_Premissas'!C11</f>
      </c>
      <c r="D6" s="38">
        <f>='1_Premissas'!D7*'1_Premissas'!D8+'1_Premissas'!D11</f>
      </c>
      <c r="E6" s="39" t="s">
        <v>21</v>
      </c>
    </row>
    <row r="7" ht="15.00" customHeight="true">
      <c r="A7" s="40" t="s">
        <v>104</v>
      </c>
      <c r="B7" s="41">
        <f>='1_Premissas'!B24</f>
      </c>
      <c r="C7" s="41">
        <f>='1_Premissas'!C24</f>
      </c>
      <c r="D7" s="41">
        <f>='1_Premissas'!D24</f>
      </c>
      <c r="E7" s="42" t="s">
        <v>21</v>
      </c>
    </row>
    <row r="8" ht="15.00" customHeight="true">
      <c r="A8" s="37" t="s">
        <v>105</v>
      </c>
      <c r="B8" s="38">
        <f>='1_Premissas'!B9</f>
      </c>
      <c r="C8" s="38">
        <f>='1_Premissas'!C9</f>
      </c>
      <c r="D8" s="38">
        <f>='1_Premissas'!D9</f>
      </c>
      <c r="E8" s="39" t="s">
        <v>14</v>
      </c>
    </row>
    <row r="9" ht="15.00" customHeight="true">
      <c r="A9" s="40" t="s">
        <v>106</v>
      </c>
      <c r="B9" s="41">
        <f>='1_Premissas'!B7*'1_Premissas'!B8*'1_Premissas'!B9</f>
      </c>
      <c r="C9" s="41">
        <f>='1_Premissas'!C7*'1_Premissas'!C8*'1_Premissas'!C9</f>
      </c>
      <c r="D9" s="41">
        <f>='1_Premissas'!D7*'1_Premissas'!D8*'1_Premissas'!D9</f>
      </c>
      <c r="E9" s="42" t="s">
        <v>21</v>
      </c>
    </row>
    <row r="10" ht="15.00" customHeight="true">
      <c r="A10" s="37" t="s">
        <v>91</v>
      </c>
      <c r="B10" s="38">
        <f>='1_Premissas'!B7*'1_Premissas'!B8*0.09</f>
      </c>
      <c r="C10" s="38">
        <f>='1_Premissas'!C7*'1_Premissas'!C8*0.09</f>
      </c>
      <c r="D10" s="38">
        <f>='1_Premissas'!D7*'1_Premissas'!D8*0.09</f>
      </c>
      <c r="E10" s="39" t="s">
        <v>21</v>
      </c>
    </row>
    <row r="11" ht="15.00" customHeight="true">
      <c r="A11" s="43" t="s">
        <v>107</v>
      </c>
      <c r="B11" s="33">
        <f>='1_Premissas'!B7*'1_Premissas'!B8*'1_Premissas'!B9-'1_Premissas'!B24-'1_Premissas'!B7*'1_Premissas'!B8*0.09</f>
      </c>
      <c r="C11" s="33">
        <f>='1_Premissas'!C7*'1_Premissas'!C8*'1_Premissas'!C9-'1_Premissas'!C24-'1_Premissas'!C7*'1_Premissas'!C8*0.09</f>
      </c>
      <c r="D11" s="33">
        <f>='1_Premissas'!D7*'1_Premissas'!D8*'1_Premissas'!D9-'1_Premissas'!D24-'1_Premissas'!D7*'1_Premissas'!D8*0.09</f>
      </c>
      <c r="E11" s="44" t="s">
        <v>21</v>
      </c>
    </row>
    <row r="12" ht="15.00" customHeight="true">
      <c r="A12" s="43" t="s">
        <v>108</v>
      </c>
      <c r="B12" s="33">
        <f>=B11*10</f>
      </c>
      <c r="C12" s="33">
        <f>=C11*11</f>
      </c>
      <c r="D12" s="33">
        <f>=D11*12</f>
      </c>
      <c r="E12" s="44" t="s">
        <v>109</v>
      </c>
    </row>
    <row r="13" ht="15.00" customHeight="true">
      <c r="A13" s="40" t="s">
        <v>110</v>
      </c>
      <c r="B13" s="41">
        <f>='1_Premissas'!B36</f>
      </c>
      <c r="C13" s="41">
        <f>='1_Premissas'!C36</f>
      </c>
      <c r="D13" s="41">
        <f>='1_Premissas'!D36</f>
      </c>
      <c r="E13" s="42" t="s">
        <v>48</v>
      </c>
    </row>
    <row r="14" ht="15.00" customHeight="true">
      <c r="A14" s="45" t="s">
        <v>111</v>
      </c>
      <c r="B14" s="46">
        <f>=IF(B11&lt;=0,"N/A",ROUND('1_Premissas'!B36/B11,1))</f>
      </c>
      <c r="C14" s="46">
        <f>=IF(C11&lt;=0,"N/A",ROUND('1_Premissas'!C36/C11,1))</f>
      </c>
      <c r="D14" s="46">
        <f>=IF(D11&lt;=0,"N/A",ROUND('1_Premissas'!D36/D11,1))</f>
      </c>
      <c r="E14" s="39" t="s">
        <v>16</v>
      </c>
    </row>
    <row r="15" ht="15.00" customHeight="true">
      <c r="A15" s="47" t="s">
        <v>112</v>
      </c>
      <c r="B15" s="48">
        <f>=IF('1_Premissas'!B36=0,0,B12/'1_Premissas'!B36)</f>
      </c>
      <c r="C15" s="48">
        <f>=IF('1_Premissas'!C36=0,0,C12/'1_Premissas'!C36)</f>
      </c>
      <c r="D15" s="48">
        <f>=IF('1_Premissas'!D36=0,0,D12/'1_Premissas'!D36)</f>
      </c>
      <c r="E15" s="42" t="s">
        <v>14</v>
      </c>
    </row>
    <row r="16" ht="15.00" customHeight="true">
      <c r="A16" s="37" t="s">
        <v>113</v>
      </c>
      <c r="B16" s="38">
        <f>=CEILING('1_Premissas'!B24/('1_Premissas'!B8*('1_Premissas'!B9-0.09)),1)</f>
      </c>
      <c r="C16" s="38">
        <f>=CEILING('1_Premissas'!C24/('1_Premissas'!C8*('1_Premissas'!C9-0.09)),1)</f>
      </c>
      <c r="D16" s="38">
        <f>=CEILING('1_Premissas'!D24/('1_Premissas'!D8*('1_Premissas'!D9-0.09)),1)</f>
      </c>
      <c r="E16" s="39" t="s">
        <v>10</v>
      </c>
    </row>
  </sheetData>
  <mergeCells count="1">
    <mergeCell ref="A1:E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33.97" customWidth="1" hidden="0"/>
    <col min="2" max="7" width="18.03" customWidth="1" hidden="0"/>
  </cols>
  <sheetData>
    <row r="1" ht="27.75" customHeight="true">
      <c r="A1" s="49" t="s">
        <v>114</v>
      </c>
    </row>
    <row r="2" ht="15.00" customHeight="true">
      <c r="A2" s="50" t="s">
        <v>115</v>
      </c>
    </row>
    <row r="4" ht="15.00" customHeight="true">
      <c r="A4" s="51" t="s">
        <v>116</v>
      </c>
      <c r="B4" s="51" t="s">
        <v>117</v>
      </c>
      <c r="C4" s="51" t="s">
        <v>118</v>
      </c>
      <c r="D4" s="51" t="s">
        <v>119</v>
      </c>
      <c r="E4" s="51" t="s">
        <v>120</v>
      </c>
      <c r="F4" s="51" t="s">
        <v>121</v>
      </c>
      <c r="G4" s="51" t="s">
        <v>122</v>
      </c>
    </row>
    <row r="5" ht="27.75" customHeight="true">
      <c r="A5" s="52" t="s">
        <v>123</v>
      </c>
      <c r="B5" s="53" t="s">
        <v>124</v>
      </c>
      <c r="C5" s="53" t="s">
        <v>125</v>
      </c>
      <c r="D5" s="53" t="s">
        <v>126</v>
      </c>
      <c r="E5" s="53" t="s">
        <v>127</v>
      </c>
      <c r="F5" s="53" t="s">
        <v>128</v>
      </c>
      <c r="G5" s="54" t="s">
        <v>129</v>
      </c>
    </row>
    <row r="6" ht="27.75" customHeight="true">
      <c r="A6" s="55" t="s">
        <v>130</v>
      </c>
      <c r="B6" s="56" t="s">
        <v>124</v>
      </c>
      <c r="C6" s="56" t="s">
        <v>131</v>
      </c>
      <c r="D6" s="56" t="s">
        <v>132</v>
      </c>
      <c r="E6" s="56" t="s">
        <v>133</v>
      </c>
      <c r="F6" s="56" t="s">
        <v>134</v>
      </c>
      <c r="G6" s="57" t="s">
        <v>135</v>
      </c>
    </row>
    <row r="7" ht="27.75" customHeight="true">
      <c r="A7" s="52" t="s">
        <v>136</v>
      </c>
      <c r="B7" s="53" t="s">
        <v>124</v>
      </c>
      <c r="C7" s="53" t="s">
        <v>125</v>
      </c>
      <c r="D7" s="53" t="s">
        <v>137</v>
      </c>
      <c r="E7" s="53" t="s">
        <v>138</v>
      </c>
      <c r="F7" s="53" t="s">
        <v>134</v>
      </c>
      <c r="G7" s="54" t="s">
        <v>139</v>
      </c>
    </row>
    <row r="8" ht="27.75" customHeight="true">
      <c r="A8" s="55" t="s">
        <v>140</v>
      </c>
      <c r="B8" s="56" t="s">
        <v>141</v>
      </c>
      <c r="C8" s="56" t="s">
        <v>142</v>
      </c>
      <c r="D8" s="56" t="s">
        <v>143</v>
      </c>
      <c r="E8" s="56" t="s">
        <v>144</v>
      </c>
      <c r="F8" s="56" t="s">
        <v>145</v>
      </c>
      <c r="G8" s="57" t="s">
        <v>146</v>
      </c>
    </row>
    <row r="9" ht="27.75" customHeight="true">
      <c r="A9" s="52" t="s">
        <v>147</v>
      </c>
      <c r="B9" s="53" t="s">
        <v>124</v>
      </c>
      <c r="C9" s="53" t="s">
        <v>148</v>
      </c>
      <c r="D9" s="53" t="s">
        <v>143</v>
      </c>
      <c r="E9" s="53" t="s">
        <v>149</v>
      </c>
      <c r="F9" s="53" t="s">
        <v>150</v>
      </c>
      <c r="G9" s="54" t="s">
        <v>151</v>
      </c>
    </row>
    <row r="10" ht="27.75" customHeight="true">
      <c r="A10" s="55" t="s">
        <v>152</v>
      </c>
      <c r="B10" s="56" t="s">
        <v>153</v>
      </c>
      <c r="C10" s="56" t="s">
        <v>154</v>
      </c>
      <c r="D10" s="56" t="s">
        <v>155</v>
      </c>
      <c r="E10" s="56" t="s">
        <v>156</v>
      </c>
      <c r="F10" s="56" t="s">
        <v>150</v>
      </c>
      <c r="G10" s="57" t="s">
        <v>157</v>
      </c>
    </row>
    <row r="11" ht="27.75" customHeight="true">
      <c r="A11" s="55" t="s">
        <v>158</v>
      </c>
      <c r="B11" s="56" t="s">
        <v>159</v>
      </c>
      <c r="C11" s="56" t="s">
        <v>160</v>
      </c>
      <c r="D11" s="56" t="s">
        <v>161</v>
      </c>
      <c r="E11" s="56" t="s">
        <v>161</v>
      </c>
      <c r="F11" s="56" t="s">
        <v>162</v>
      </c>
      <c r="G11" s="57" t="s">
        <v>163</v>
      </c>
    </row>
    <row r="12" ht="27.75" customHeight="true">
      <c r="A12" s="58" t="s">
        <v>164</v>
      </c>
      <c r="B12" s="59" t="s">
        <v>165</v>
      </c>
      <c r="C12" s="59" t="s">
        <v>150</v>
      </c>
      <c r="D12" s="59" t="s">
        <v>155</v>
      </c>
      <c r="E12" s="59" t="s">
        <v>156</v>
      </c>
      <c r="F12" s="59" t="s">
        <v>150</v>
      </c>
      <c r="G12" s="60" t="s">
        <v>166</v>
      </c>
    </row>
    <row r="13" ht="27.75" customHeight="true">
      <c r="A13" s="52" t="s">
        <v>167</v>
      </c>
      <c r="B13" s="53" t="s">
        <v>124</v>
      </c>
      <c r="C13" s="53" t="s">
        <v>125</v>
      </c>
      <c r="D13" s="53" t="s">
        <v>156</v>
      </c>
      <c r="E13" s="53" t="s">
        <v>127</v>
      </c>
      <c r="F13" s="53" t="s">
        <v>150</v>
      </c>
      <c r="G13" s="54" t="s">
        <v>168</v>
      </c>
    </row>
    <row r="14" ht="27.75" customHeight="true">
      <c r="A14" s="58" t="s">
        <v>169</v>
      </c>
      <c r="B14" s="59" t="s">
        <v>124</v>
      </c>
      <c r="C14" s="59" t="s">
        <v>170</v>
      </c>
      <c r="D14" s="59" t="s">
        <v>171</v>
      </c>
      <c r="E14" s="59" t="s">
        <v>161</v>
      </c>
      <c r="F14" s="59" t="s">
        <v>172</v>
      </c>
      <c r="G14" s="60" t="s">
        <v>173</v>
      </c>
    </row>
    <row r="16" ht="15.00" customHeight="true">
      <c r="A16" s="11" t="s">
        <v>174</v>
      </c>
      <c r="B16" s="4"/>
      <c r="C16" s="4"/>
      <c r="D16" s="4"/>
      <c r="E16" s="4"/>
      <c r="F16" s="5"/>
    </row>
    <row r="17" ht="15.00" customHeight="true">
      <c r="A17" s="61" t="s">
        <v>175</v>
      </c>
      <c r="B17" s="61" t="s">
        <v>176</v>
      </c>
      <c r="C17" s="61"/>
      <c r="D17" s="61" t="s">
        <v>93</v>
      </c>
      <c r="E17" s="61" t="s">
        <v>176</v>
      </c>
      <c r="F17" s="61"/>
    </row>
    <row r="18" ht="15.00" customHeight="true">
      <c r="A18" s="7" t="s">
        <v>177</v>
      </c>
      <c r="B18" s="8">
        <v>60000</v>
      </c>
      <c r="C18" s="10"/>
      <c r="D18" s="62" t="s">
        <v>178</v>
      </c>
      <c r="E18" s="63">
        <f>=IFERROR(PMT(B19,B20-B21,B18*(1+B19)^B21)*(-1),"Erro")</f>
      </c>
      <c r="F18" s="10"/>
    </row>
    <row r="19" ht="15.00" customHeight="true">
      <c r="A19" s="7" t="s">
        <v>179</v>
      </c>
      <c r="B19" s="8">
        <v>0.006</v>
      </c>
      <c r="C19" s="10"/>
      <c r="D19" s="62" t="s">
        <v>180</v>
      </c>
      <c r="E19" s="16">
        <f>=IFERROR(B23*(B20-B21),"Erro")</f>
      </c>
      <c r="F19" s="10"/>
    </row>
    <row r="20" ht="15.00" customHeight="true">
      <c r="A20" s="7" t="s">
        <v>181</v>
      </c>
      <c r="B20" s="8">
        <v>36</v>
      </c>
      <c r="C20" s="10"/>
      <c r="D20" s="62" t="s">
        <v>182</v>
      </c>
      <c r="E20" s="16">
        <f>=IFERROR(B24-B18,"Erro")</f>
      </c>
      <c r="F20" s="10"/>
    </row>
    <row r="21" ht="15.00" customHeight="true">
      <c r="A21" s="7" t="s">
        <v>183</v>
      </c>
      <c r="B21" s="8">
        <v>3</v>
      </c>
      <c r="C21" s="10"/>
      <c r="D21" s="62" t="s">
        <v>184</v>
      </c>
      <c r="E21" s="16">
        <f>=IFERROR((1+B19)^12-1,"Erro")</f>
      </c>
      <c r="F21" s="10"/>
    </row>
    <row r="27" ht="15.00" customHeight="true">
      <c r="A27" s="3" t="s">
        <v>185</v>
      </c>
      <c r="B27" s="4"/>
      <c r="C27" s="4"/>
      <c r="D27" s="4"/>
      <c r="E27" s="4"/>
      <c r="F27" s="5"/>
    </row>
    <row r="28" ht="15.00" customHeight="true">
      <c r="A28" s="64" t="s">
        <v>117</v>
      </c>
      <c r="B28" s="64" t="s">
        <v>186</v>
      </c>
      <c r="C28" s="64" t="s">
        <v>187</v>
      </c>
      <c r="D28" s="64" t="s">
        <v>188</v>
      </c>
      <c r="E28" s="64" t="s">
        <v>189</v>
      </c>
      <c r="F28" s="64" t="s">
        <v>190</v>
      </c>
    </row>
    <row r="29" ht="15.00" customHeight="true">
      <c r="A29" s="65" t="s">
        <v>191</v>
      </c>
      <c r="B29" s="66" t="s">
        <v>192</v>
      </c>
      <c r="C29" s="66" t="s">
        <v>193</v>
      </c>
      <c r="D29" s="66" t="s">
        <v>194</v>
      </c>
      <c r="E29" s="66" t="s">
        <v>195</v>
      </c>
      <c r="F29" s="66" t="s">
        <v>196</v>
      </c>
    </row>
    <row r="30" ht="15.00" customHeight="true">
      <c r="A30" s="65" t="s">
        <v>197</v>
      </c>
      <c r="B30" s="66" t="s">
        <v>198</v>
      </c>
      <c r="C30" s="66" t="s">
        <v>199</v>
      </c>
      <c r="D30" s="66" t="s">
        <v>200</v>
      </c>
      <c r="E30" s="66" t="s">
        <v>201</v>
      </c>
      <c r="F30" s="66" t="s">
        <v>202</v>
      </c>
    </row>
    <row r="31" ht="15.00" customHeight="true">
      <c r="A31" s="65" t="s">
        <v>203</v>
      </c>
      <c r="B31" s="66" t="s">
        <v>204</v>
      </c>
      <c r="C31" s="66" t="s">
        <v>161</v>
      </c>
      <c r="D31" s="66" t="s">
        <v>195</v>
      </c>
      <c r="E31" s="66" t="s">
        <v>205</v>
      </c>
      <c r="F31" s="66" t="s">
        <v>161</v>
      </c>
    </row>
    <row r="32" ht="15.00" customHeight="true">
      <c r="A32" s="65" t="s">
        <v>206</v>
      </c>
      <c r="B32" s="66" t="s">
        <v>207</v>
      </c>
      <c r="C32" s="66" t="s">
        <v>161</v>
      </c>
      <c r="D32" s="66" t="s">
        <v>208</v>
      </c>
      <c r="E32" s="66" t="s">
        <v>209</v>
      </c>
      <c r="F32" s="66" t="s">
        <v>161</v>
      </c>
    </row>
  </sheetData>
  <mergeCells count="4">
    <mergeCell ref="A16:F16"/>
    <mergeCell ref="A2:G2"/>
    <mergeCell ref="A1:G1"/>
    <mergeCell ref="A27:F2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32.01" customWidth="1" hidden="0"/>
    <col min="2" max="14" width="13.00" customWidth="1" hidden="0"/>
    <col min="15" max="15" width="15.94" customWidth="1" hidden="0"/>
  </cols>
  <sheetData>
    <row r="1" ht="27.75" customHeight="true">
      <c r="A1" s="67" t="s">
        <v>210</v>
      </c>
    </row>
    <row r="3" ht="15.00" customHeight="true">
      <c r="A3" s="68" t="s">
        <v>42</v>
      </c>
      <c r="B3" s="68" t="s">
        <v>68</v>
      </c>
      <c r="C3" s="68" t="s">
        <v>69</v>
      </c>
      <c r="D3" s="68" t="s">
        <v>70</v>
      </c>
      <c r="E3" s="68" t="s">
        <v>71</v>
      </c>
      <c r="F3" s="68" t="s">
        <v>72</v>
      </c>
      <c r="G3" s="68" t="s">
        <v>73</v>
      </c>
      <c r="H3" s="68" t="s">
        <v>74</v>
      </c>
      <c r="I3" s="68" t="s">
        <v>75</v>
      </c>
      <c r="J3" s="68" t="s">
        <v>76</v>
      </c>
      <c r="K3" s="68" t="s">
        <v>77</v>
      </c>
      <c r="L3" s="68" t="s">
        <v>78</v>
      </c>
      <c r="M3" s="68" t="s">
        <v>79</v>
      </c>
      <c r="N3" s="68" t="s">
        <v>211</v>
      </c>
    </row>
    <row r="4" ht="15.00" customHeight="true">
      <c r="A4" s="69" t="s">
        <v>212</v>
      </c>
      <c r="B4" s="70">
        <f>='2_DRE_Moderado'!B13</f>
      </c>
      <c r="C4" s="70">
        <f>='2_DRE_Moderado'!C13</f>
      </c>
      <c r="D4" s="70">
        <f>='2_DRE_Moderado'!D13</f>
      </c>
      <c r="E4" s="70">
        <f>='2_DRE_Moderado'!E13</f>
      </c>
      <c r="F4" s="70">
        <f>='2_DRE_Moderado'!F13</f>
      </c>
      <c r="G4" s="70">
        <f>='2_DRE_Moderado'!G13</f>
      </c>
      <c r="H4" s="70">
        <f>='2_DRE_Moderado'!H13</f>
      </c>
      <c r="I4" s="70">
        <f>='2_DRE_Moderado'!I13</f>
      </c>
      <c r="J4" s="70">
        <f>='2_DRE_Moderado'!J13</f>
      </c>
      <c r="K4" s="70">
        <f>='2_DRE_Moderado'!K13</f>
      </c>
      <c r="L4" s="70">
        <f>='2_DRE_Moderado'!L13</f>
      </c>
      <c r="M4" s="70">
        <f>='2_DRE_Moderado'!M13</f>
      </c>
      <c r="O4" s="71">
        <f>=SUM(B4:M4)</f>
      </c>
    </row>
    <row r="5" ht="15.00" customHeight="true">
      <c r="A5" s="72" t="s">
        <v>213</v>
      </c>
      <c r="B5" s="73">
        <f>=-'2_DRE_Moderado'!B16</f>
      </c>
      <c r="C5" s="73">
        <f>=-'2_DRE_Moderado'!C16</f>
      </c>
      <c r="D5" s="73">
        <f>=-'2_DRE_Moderado'!D16</f>
      </c>
      <c r="E5" s="73">
        <f>=-'2_DRE_Moderado'!E16</f>
      </c>
      <c r="F5" s="73">
        <f>=-'2_DRE_Moderado'!F16</f>
      </c>
      <c r="G5" s="73">
        <f>=-'2_DRE_Moderado'!G16</f>
      </c>
      <c r="H5" s="73">
        <f>=-'2_DRE_Moderado'!H16</f>
      </c>
      <c r="I5" s="73">
        <f>=-'2_DRE_Moderado'!I16</f>
      </c>
      <c r="J5" s="73">
        <f>=-'2_DRE_Moderado'!J16</f>
      </c>
      <c r="K5" s="73">
        <f>=-'2_DRE_Moderado'!K16</f>
      </c>
      <c r="L5" s="73">
        <f>=-'2_DRE_Moderado'!L16</f>
      </c>
      <c r="M5" s="73">
        <f>=-'2_DRE_Moderado'!M16</f>
      </c>
      <c r="O5" s="74">
        <f>=SUM(B5:M5)</f>
      </c>
    </row>
    <row r="6" ht="15.00" customHeight="true">
      <c r="A6" s="72" t="s">
        <v>214</v>
      </c>
      <c r="B6" s="73">
        <f>=-'2_DRE_Moderado'!B17</f>
      </c>
      <c r="C6" s="73">
        <f>=-'2_DRE_Moderado'!C17</f>
      </c>
      <c r="D6" s="73">
        <f>=-'2_DRE_Moderado'!D17</f>
      </c>
      <c r="E6" s="73">
        <f>=-'2_DRE_Moderado'!E17</f>
      </c>
      <c r="F6" s="73">
        <f>=-'2_DRE_Moderado'!F17</f>
      </c>
      <c r="G6" s="73">
        <f>=-'2_DRE_Moderado'!G17</f>
      </c>
      <c r="H6" s="73">
        <f>=-'2_DRE_Moderado'!H17</f>
      </c>
      <c r="I6" s="73">
        <f>=-'2_DRE_Moderado'!I17</f>
      </c>
      <c r="J6" s="73">
        <f>=-'2_DRE_Moderado'!J17</f>
      </c>
      <c r="K6" s="73">
        <f>=-'2_DRE_Moderado'!K17</f>
      </c>
      <c r="L6" s="73">
        <f>=-'2_DRE_Moderado'!L17</f>
      </c>
      <c r="M6" s="73">
        <f>=-'2_DRE_Moderado'!M17</f>
      </c>
      <c r="O6" s="74">
        <f>=SUM(B6:M6)</f>
      </c>
    </row>
    <row r="7" ht="15.00" customHeight="true">
      <c r="A7" s="72" t="s">
        <v>215</v>
      </c>
      <c r="B7" s="73">
        <f>=-'2_DRE_Moderado'!B18</f>
      </c>
      <c r="C7" s="73">
        <f>=-'2_DRE_Moderado'!C18</f>
      </c>
      <c r="D7" s="73">
        <f>=-'2_DRE_Moderado'!D18</f>
      </c>
      <c r="E7" s="73">
        <f>=-'2_DRE_Moderado'!E18</f>
      </c>
      <c r="F7" s="73">
        <f>=-'2_DRE_Moderado'!F18</f>
      </c>
      <c r="G7" s="73">
        <f>=-'2_DRE_Moderado'!G18</f>
      </c>
      <c r="H7" s="73">
        <f>=-'2_DRE_Moderado'!H18</f>
      </c>
      <c r="I7" s="73">
        <f>=-'2_DRE_Moderado'!I18</f>
      </c>
      <c r="J7" s="73">
        <f>=-'2_DRE_Moderado'!J18</f>
      </c>
      <c r="K7" s="73">
        <f>=-'2_DRE_Moderado'!K18</f>
      </c>
      <c r="L7" s="73">
        <f>=-'2_DRE_Moderado'!L18</f>
      </c>
      <c r="M7" s="73">
        <f>=-'2_DRE_Moderado'!M18</f>
      </c>
      <c r="O7" s="74">
        <f>=SUM(B7:M7)</f>
      </c>
    </row>
    <row r="8" ht="15.00" customHeight="true">
      <c r="A8" s="43" t="s">
        <v>216</v>
      </c>
      <c r="B8" s="33">
        <f>='2_DRE_Moderado'!B24</f>
      </c>
      <c r="C8" s="33">
        <f>='2_DRE_Moderado'!C24</f>
      </c>
      <c r="D8" s="33">
        <f>='2_DRE_Moderado'!D24</f>
      </c>
      <c r="E8" s="33">
        <f>='2_DRE_Moderado'!E24</f>
      </c>
      <c r="F8" s="33">
        <f>='2_DRE_Moderado'!F24</f>
      </c>
      <c r="G8" s="33">
        <f>='2_DRE_Moderado'!G24</f>
      </c>
      <c r="H8" s="33">
        <f>='2_DRE_Moderado'!H24</f>
      </c>
      <c r="I8" s="33">
        <f>='2_DRE_Moderado'!I24</f>
      </c>
      <c r="J8" s="33">
        <f>='2_DRE_Moderado'!J24</f>
      </c>
      <c r="K8" s="33">
        <f>='2_DRE_Moderado'!K24</f>
      </c>
      <c r="L8" s="33">
        <f>='2_DRE_Moderado'!L24</f>
      </c>
      <c r="M8" s="33">
        <f>='2_DRE_Moderado'!M24</f>
      </c>
      <c r="O8" s="33">
        <f>=SUM(B8:M8)</f>
      </c>
    </row>
    <row r="10" ht="15.00" customHeight="true">
      <c r="A10" s="36" t="s">
        <v>217</v>
      </c>
      <c r="B10" s="21">
        <f>=-'1_Premissas'!C36+B8</f>
      </c>
      <c r="C10" s="21">
        <f>=B10+C8</f>
      </c>
      <c r="D10" s="21">
        <f>=C10+D8</f>
      </c>
      <c r="E10" s="21">
        <f>=D10+E8</f>
      </c>
      <c r="F10" s="21">
        <f>=E10+F8</f>
      </c>
      <c r="G10" s="21">
        <f>=F10+G8</f>
      </c>
      <c r="H10" s="21">
        <f>=G10+H8</f>
      </c>
      <c r="I10" s="21">
        <f>=H10+I8</f>
      </c>
      <c r="J10" s="21">
        <f>=I10+J8</f>
      </c>
      <c r="K10" s="21">
        <f>=J10+K8</f>
      </c>
      <c r="L10" s="21">
        <f>=K10+L8</f>
      </c>
      <c r="M10" s="21">
        <f>=L10+M8</f>
      </c>
      <c r="O10" s="10"/>
    </row>
    <row r="12" ht="15.00" customHeight="true">
      <c r="A12" s="11" t="s">
        <v>218</v>
      </c>
      <c r="B12" s="4"/>
      <c r="C12" s="4"/>
      <c r="D12" s="4"/>
      <c r="E12" s="4"/>
      <c r="F12" s="4"/>
      <c r="G12" s="5"/>
    </row>
    <row r="13" ht="15.00" customHeight="true">
      <c r="A13" s="37" t="s">
        <v>219</v>
      </c>
      <c r="B13" s="10"/>
      <c r="C13" s="38">
        <f>='1_Premissas'!C24</f>
      </c>
    </row>
    <row r="14" ht="15.00" customHeight="true">
      <c r="A14" s="37" t="s">
        <v>220</v>
      </c>
      <c r="B14" s="10"/>
      <c r="C14" s="75">
        <f>=0.09</f>
      </c>
    </row>
    <row r="15" ht="15.00" customHeight="true">
      <c r="A15" s="37" t="s">
        <v>83</v>
      </c>
      <c r="B15" s="10"/>
      <c r="C15" s="38">
        <f>='1_Premissas'!C8</f>
      </c>
    </row>
    <row r="16" ht="15.00" customHeight="true">
      <c r="A16" s="37" t="s">
        <v>13</v>
      </c>
      <c r="B16" s="10"/>
      <c r="C16" s="38">
        <f>='1_Premissas'!C9</f>
      </c>
    </row>
    <row r="17" ht="15.00" customHeight="true">
      <c r="A17" s="37" t="s">
        <v>221</v>
      </c>
      <c r="B17" s="10"/>
      <c r="C17" s="75">
        <f>=C16*C17-C16*C15</f>
      </c>
    </row>
    <row r="18" ht="15.00" customHeight="true">
      <c r="A18" s="62" t="s">
        <v>222</v>
      </c>
      <c r="B18" s="10"/>
      <c r="C18" s="16">
        <f>=CEILING(C13/(C17*C15-C14*C15),1)</f>
      </c>
    </row>
    <row r="19" ht="15.00" customHeight="true">
      <c r="A19" s="62" t="s">
        <v>223</v>
      </c>
      <c r="B19" s="10"/>
      <c r="C19" s="16">
        <f>=C18*C15</f>
      </c>
    </row>
    <row r="20" ht="15.00" customHeight="true">
      <c r="A20" s="37" t="s">
        <v>224</v>
      </c>
      <c r="B20" s="10"/>
      <c r="C20" s="38">
        <f>='1_Premissas'!C7-C18</f>
      </c>
    </row>
  </sheetData>
  <mergeCells count="2">
    <mergeCell ref="A1:O1"/>
    <mergeCell ref="A12:G1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5.03" customWidth="1" hidden="0"/>
    <col min="2" max="2" width="27.96" customWidth="1" hidden="0"/>
    <col min="3" max="3" width="21.95" customWidth="1" hidden="0"/>
    <col min="4" max="4" width="19.99" customWidth="1" hidden="0"/>
    <col min="5" max="6" width="13.98" customWidth="1" hidden="0"/>
    <col min="7" max="7" width="15.94" customWidth="1" hidden="0"/>
    <col min="8" max="8" width="12.02" customWidth="1" hidden="0"/>
    <col min="9" max="9" width="30.05" customWidth="1" hidden="0"/>
    <col min="10" max="10" width="18.03" customWidth="1" hidden="0"/>
  </cols>
  <sheetData>
    <row r="1" ht="26.25" customHeight="true">
      <c r="A1" s="76" t="s">
        <v>225</v>
      </c>
    </row>
    <row r="3" ht="15.00" customHeight="true">
      <c r="A3" s="77" t="s">
        <v>226</v>
      </c>
      <c r="B3" s="77" t="s">
        <v>227</v>
      </c>
      <c r="C3" s="77" t="s">
        <v>228</v>
      </c>
      <c r="D3" s="77" t="s">
        <v>229</v>
      </c>
      <c r="E3" s="77" t="s">
        <v>187</v>
      </c>
      <c r="F3" s="77" t="s">
        <v>230</v>
      </c>
      <c r="G3" s="77" t="s">
        <v>231</v>
      </c>
      <c r="H3" s="77" t="s">
        <v>232</v>
      </c>
      <c r="I3" s="77" t="s">
        <v>233</v>
      </c>
      <c r="J3" s="77" t="s">
        <v>234</v>
      </c>
    </row>
    <row r="4" ht="21.75" customHeight="true">
      <c r="A4" s="59">
        <v>1</v>
      </c>
      <c r="B4" s="59" t="s">
        <v>235</v>
      </c>
      <c r="C4" s="59" t="s">
        <v>236</v>
      </c>
      <c r="D4" s="59" t="s">
        <v>237</v>
      </c>
      <c r="E4" s="59" t="s">
        <v>238</v>
      </c>
      <c r="F4" s="59" t="s">
        <v>161</v>
      </c>
      <c r="G4" s="59" t="s">
        <v>239</v>
      </c>
      <c r="H4" s="59">
        <v>50000</v>
      </c>
      <c r="I4" s="60" t="s">
        <v>240</v>
      </c>
      <c r="J4" s="59" t="s">
        <v>241</v>
      </c>
    </row>
    <row r="5" ht="21.75" customHeight="true">
      <c r="A5" s="59">
        <v>2</v>
      </c>
      <c r="B5" s="59" t="s">
        <v>242</v>
      </c>
      <c r="C5" s="59" t="s">
        <v>243</v>
      </c>
      <c r="D5" s="59" t="s">
        <v>244</v>
      </c>
      <c r="E5" s="59" t="s">
        <v>245</v>
      </c>
      <c r="F5" s="59" t="s">
        <v>161</v>
      </c>
      <c r="G5" s="59" t="s">
        <v>239</v>
      </c>
      <c r="H5" s="59">
        <v>80000</v>
      </c>
      <c r="I5" s="60" t="s">
        <v>246</v>
      </c>
      <c r="J5" s="59" t="s">
        <v>241</v>
      </c>
    </row>
    <row r="6" ht="21.75" customHeight="true">
      <c r="A6" s="78">
        <v>3</v>
      </c>
      <c r="B6" s="78" t="s">
        <v>247</v>
      </c>
      <c r="C6" s="78" t="s">
        <v>248</v>
      </c>
      <c r="D6" s="78" t="s">
        <v>249</v>
      </c>
      <c r="E6" s="78" t="s">
        <v>250</v>
      </c>
      <c r="F6" s="78" t="s">
        <v>161</v>
      </c>
      <c r="G6" s="78" t="s">
        <v>251</v>
      </c>
      <c r="H6" s="78">
        <v>38000</v>
      </c>
      <c r="I6" s="79" t="s">
        <v>252</v>
      </c>
      <c r="J6" s="78" t="s">
        <v>253</v>
      </c>
    </row>
    <row r="7" ht="21.75" customHeight="true">
      <c r="A7" s="78">
        <v>4</v>
      </c>
      <c r="B7" s="78" t="s">
        <v>254</v>
      </c>
      <c r="C7" s="78" t="s">
        <v>255</v>
      </c>
      <c r="D7" s="78" t="s">
        <v>256</v>
      </c>
      <c r="E7" s="78" t="s">
        <v>257</v>
      </c>
      <c r="F7" s="78" t="s">
        <v>161</v>
      </c>
      <c r="G7" s="78" t="s">
        <v>251</v>
      </c>
      <c r="H7" s="78">
        <v>45000</v>
      </c>
      <c r="I7" s="79" t="s">
        <v>258</v>
      </c>
      <c r="J7" s="78" t="s">
        <v>253</v>
      </c>
    </row>
    <row r="8" ht="21.75" customHeight="true">
      <c r="A8" s="59">
        <v>5</v>
      </c>
      <c r="B8" s="59" t="s">
        <v>259</v>
      </c>
      <c r="C8" s="59" t="s">
        <v>161</v>
      </c>
      <c r="D8" s="59" t="s">
        <v>260</v>
      </c>
      <c r="E8" s="59" t="s">
        <v>261</v>
      </c>
      <c r="F8" s="59" t="s">
        <v>161</v>
      </c>
      <c r="G8" s="59" t="s">
        <v>239</v>
      </c>
      <c r="H8" s="59">
        <v>40000</v>
      </c>
      <c r="I8" s="60" t="s">
        <v>262</v>
      </c>
      <c r="J8" s="59" t="s">
        <v>253</v>
      </c>
    </row>
    <row r="9" ht="21.75" customHeight="true">
      <c r="A9" s="59">
        <v>6</v>
      </c>
      <c r="B9" s="59" t="s">
        <v>263</v>
      </c>
      <c r="C9" s="59" t="s">
        <v>264</v>
      </c>
      <c r="D9" s="59" t="s">
        <v>265</v>
      </c>
      <c r="E9" s="59" t="s">
        <v>161</v>
      </c>
      <c r="F9" s="59" t="s">
        <v>161</v>
      </c>
      <c r="G9" s="59" t="s">
        <v>239</v>
      </c>
      <c r="H9" s="59">
        <v>35000</v>
      </c>
      <c r="I9" s="60" t="s">
        <v>266</v>
      </c>
      <c r="J9" s="59" t="s">
        <v>267</v>
      </c>
    </row>
    <row r="10" ht="21.75" customHeight="true">
      <c r="A10" s="59">
        <v>7</v>
      </c>
      <c r="B10" s="59" t="s">
        <v>268</v>
      </c>
      <c r="C10" s="59" t="s">
        <v>269</v>
      </c>
      <c r="D10" s="59" t="s">
        <v>270</v>
      </c>
      <c r="E10" s="59" t="s">
        <v>271</v>
      </c>
      <c r="F10" s="59" t="s">
        <v>161</v>
      </c>
      <c r="G10" s="59" t="s">
        <v>239</v>
      </c>
      <c r="H10" s="59">
        <v>32000</v>
      </c>
      <c r="I10" s="60" t="s">
        <v>272</v>
      </c>
      <c r="J10" s="59" t="s">
        <v>267</v>
      </c>
    </row>
    <row r="11" ht="21.75" customHeight="true">
      <c r="A11" s="59">
        <v>8</v>
      </c>
      <c r="B11" s="59" t="s">
        <v>273</v>
      </c>
      <c r="C11" s="59" t="s">
        <v>161</v>
      </c>
      <c r="D11" s="59" t="s">
        <v>274</v>
      </c>
      <c r="E11" s="59" t="s">
        <v>275</v>
      </c>
      <c r="F11" s="59" t="s">
        <v>161</v>
      </c>
      <c r="G11" s="59" t="s">
        <v>239</v>
      </c>
      <c r="H11" s="59">
        <v>35000</v>
      </c>
      <c r="I11" s="60" t="s">
        <v>276</v>
      </c>
      <c r="J11" s="59" t="s">
        <v>267</v>
      </c>
    </row>
    <row r="12" ht="21.75" customHeight="true">
      <c r="A12" s="59">
        <v>9</v>
      </c>
      <c r="B12" s="59" t="s">
        <v>277</v>
      </c>
      <c r="C12" s="59" t="s">
        <v>278</v>
      </c>
      <c r="D12" s="59" t="s">
        <v>279</v>
      </c>
      <c r="E12" s="59" t="s">
        <v>280</v>
      </c>
      <c r="F12" s="59" t="s">
        <v>161</v>
      </c>
      <c r="G12" s="59" t="s">
        <v>239</v>
      </c>
      <c r="H12" s="59">
        <v>38000</v>
      </c>
      <c r="I12" s="60" t="s">
        <v>281</v>
      </c>
      <c r="J12" s="59" t="s">
        <v>267</v>
      </c>
    </row>
    <row r="13" ht="21.75" customHeight="true">
      <c r="A13" s="59">
        <v>10</v>
      </c>
      <c r="B13" s="59" t="s">
        <v>282</v>
      </c>
      <c r="C13" s="59" t="s">
        <v>161</v>
      </c>
      <c r="D13" s="59" t="s">
        <v>283</v>
      </c>
      <c r="E13" s="59" t="s">
        <v>284</v>
      </c>
      <c r="F13" s="59" t="s">
        <v>161</v>
      </c>
      <c r="G13" s="59" t="s">
        <v>239</v>
      </c>
      <c r="H13" s="59">
        <v>35000</v>
      </c>
      <c r="I13" s="60" t="s">
        <v>285</v>
      </c>
      <c r="J13" s="59" t="s">
        <v>286</v>
      </c>
    </row>
    <row r="14" ht="15.00" customHeight="true">
      <c r="A14" s="80"/>
      <c r="B14" s="80"/>
      <c r="C14" s="80"/>
      <c r="D14" s="80"/>
      <c r="E14" s="80"/>
      <c r="F14" s="80"/>
      <c r="G14" s="80"/>
      <c r="H14" s="80"/>
      <c r="I14" s="80"/>
      <c r="J14" s="80"/>
    </row>
    <row r="15" ht="15.00" customHeight="true">
      <c r="A15" s="81"/>
      <c r="B15" s="81"/>
      <c r="C15" s="81"/>
      <c r="D15" s="81"/>
      <c r="E15" s="81"/>
      <c r="F15" s="81"/>
      <c r="G15" s="81"/>
      <c r="H15" s="81"/>
      <c r="I15" s="81"/>
      <c r="J15" s="81"/>
    </row>
    <row r="16" ht="15.00" customHeight="true">
      <c r="A16" s="80"/>
      <c r="B16" s="80"/>
      <c r="C16" s="80"/>
      <c r="D16" s="80"/>
      <c r="E16" s="80"/>
      <c r="F16" s="80"/>
      <c r="G16" s="80"/>
      <c r="H16" s="80"/>
      <c r="I16" s="80"/>
      <c r="J16" s="80"/>
    </row>
    <row r="17" ht="15.00" customHeight="true">
      <c r="A17" s="81"/>
      <c r="B17" s="81"/>
      <c r="C17" s="81"/>
      <c r="D17" s="81"/>
      <c r="E17" s="81"/>
      <c r="F17" s="81"/>
      <c r="G17" s="81"/>
      <c r="H17" s="81"/>
      <c r="I17" s="81"/>
      <c r="J17" s="81"/>
    </row>
    <row r="18" ht="15.00" customHeight="true">
      <c r="A18" s="80"/>
      <c r="B18" s="80"/>
      <c r="C18" s="80"/>
      <c r="D18" s="80"/>
      <c r="E18" s="80"/>
      <c r="F18" s="80"/>
      <c r="G18" s="80"/>
      <c r="H18" s="80"/>
      <c r="I18" s="80"/>
      <c r="J18" s="80"/>
    </row>
    <row r="19" ht="15.00" customHeight="true">
      <c r="A19" s="81"/>
      <c r="B19" s="81"/>
      <c r="C19" s="81"/>
      <c r="D19" s="81"/>
      <c r="E19" s="81"/>
      <c r="F19" s="81"/>
      <c r="G19" s="81"/>
      <c r="H19" s="81"/>
      <c r="I19" s="81"/>
      <c r="J19" s="81"/>
    </row>
    <row r="20" ht="15.00" customHeight="true">
      <c r="A20" s="80"/>
      <c r="B20" s="80"/>
      <c r="C20" s="80"/>
      <c r="D20" s="80"/>
      <c r="E20" s="80"/>
      <c r="F20" s="80"/>
      <c r="G20" s="80"/>
      <c r="H20" s="80"/>
      <c r="I20" s="80"/>
      <c r="J20" s="80"/>
    </row>
    <row r="21" ht="15.00" customHeight="true">
      <c r="A21" s="81"/>
      <c r="B21" s="81"/>
      <c r="C21" s="81"/>
      <c r="D21" s="81"/>
      <c r="E21" s="81"/>
      <c r="F21" s="81"/>
      <c r="G21" s="81"/>
      <c r="H21" s="81"/>
      <c r="I21" s="81"/>
      <c r="J21" s="81"/>
    </row>
    <row r="22" ht="15.00" customHeight="true">
      <c r="A22" s="80"/>
      <c r="B22" s="80"/>
      <c r="C22" s="80"/>
      <c r="D22" s="80"/>
      <c r="E22" s="80"/>
      <c r="F22" s="80"/>
      <c r="G22" s="80"/>
      <c r="H22" s="80"/>
      <c r="I22" s="80"/>
      <c r="J22" s="80"/>
    </row>
    <row r="23" ht="15.00" customHeight="true">
      <c r="A23" s="81"/>
      <c r="B23" s="81"/>
      <c r="C23" s="81"/>
      <c r="D23" s="81"/>
      <c r="E23" s="81"/>
      <c r="F23" s="81"/>
      <c r="G23" s="81"/>
      <c r="H23" s="81"/>
      <c r="I23" s="81"/>
      <c r="J23" s="81"/>
    </row>
    <row r="24" ht="15.00" customHeight="true">
      <c r="A24" s="80"/>
      <c r="B24" s="80"/>
      <c r="C24" s="80"/>
      <c r="D24" s="80"/>
      <c r="E24" s="80"/>
      <c r="F24" s="80"/>
      <c r="G24" s="80"/>
      <c r="H24" s="80"/>
      <c r="I24" s="80"/>
      <c r="J24" s="80"/>
    </row>
    <row r="25" ht="15.00" customHeight="true">
      <c r="A25" s="81"/>
      <c r="B25" s="81"/>
      <c r="C25" s="81"/>
      <c r="D25" s="81"/>
      <c r="E25" s="81"/>
      <c r="F25" s="81"/>
      <c r="G25" s="81"/>
      <c r="H25" s="81"/>
      <c r="I25" s="81"/>
      <c r="J25" s="81"/>
    </row>
    <row r="26" ht="15.00" customHeight="true">
      <c r="A26" s="80"/>
      <c r="B26" s="80"/>
      <c r="C26" s="80"/>
      <c r="D26" s="80"/>
      <c r="E26" s="80"/>
      <c r="F26" s="80"/>
      <c r="G26" s="80"/>
      <c r="H26" s="80"/>
      <c r="I26" s="80"/>
      <c r="J26" s="80"/>
    </row>
    <row r="27" ht="15.00" customHeight="true">
      <c r="A27" s="81"/>
      <c r="B27" s="81"/>
      <c r="C27" s="81"/>
      <c r="D27" s="81"/>
      <c r="E27" s="81"/>
      <c r="F27" s="81"/>
      <c r="G27" s="81"/>
      <c r="H27" s="81"/>
      <c r="I27" s="81"/>
      <c r="J27" s="81"/>
    </row>
    <row r="28" ht="15.00" customHeight="true">
      <c r="A28" s="80"/>
      <c r="B28" s="80"/>
      <c r="C28" s="80"/>
      <c r="D28" s="80"/>
      <c r="E28" s="80"/>
      <c r="F28" s="80"/>
      <c r="G28" s="80"/>
      <c r="H28" s="80"/>
      <c r="I28" s="80"/>
      <c r="J28" s="80"/>
    </row>
    <row r="29" ht="15.00" customHeight="true">
      <c r="A29" s="81"/>
      <c r="B29" s="81"/>
      <c r="C29" s="81"/>
      <c r="D29" s="81"/>
      <c r="E29" s="81"/>
      <c r="F29" s="81"/>
      <c r="G29" s="81"/>
      <c r="H29" s="81"/>
      <c r="I29" s="81"/>
      <c r="J29" s="81"/>
    </row>
    <row r="30" ht="15.00" customHeight="true">
      <c r="A30" s="80"/>
      <c r="B30" s="80"/>
      <c r="C30" s="80"/>
      <c r="D30" s="80"/>
      <c r="E30" s="80"/>
      <c r="F30" s="80"/>
      <c r="G30" s="80"/>
      <c r="H30" s="80"/>
      <c r="I30" s="80"/>
      <c r="J30" s="80"/>
    </row>
    <row r="31" ht="15.00" customHeight="true">
      <c r="A31" s="81"/>
      <c r="B31" s="81"/>
      <c r="C31" s="81"/>
      <c r="D31" s="81"/>
      <c r="E31" s="81"/>
      <c r="F31" s="81"/>
      <c r="G31" s="81"/>
      <c r="H31" s="81"/>
      <c r="I31" s="81"/>
      <c r="J31" s="81"/>
    </row>
    <row r="32" ht="15.00" customHeight="true">
      <c r="A32" s="80"/>
      <c r="B32" s="80"/>
      <c r="C32" s="80"/>
      <c r="D32" s="80"/>
      <c r="E32" s="80"/>
      <c r="F32" s="80"/>
      <c r="G32" s="80"/>
      <c r="H32" s="80"/>
      <c r="I32" s="80"/>
      <c r="J32" s="80"/>
    </row>
    <row r="33" ht="15.00" customHeight="true">
      <c r="A33" s="81"/>
      <c r="B33" s="81"/>
      <c r="C33" s="81"/>
      <c r="D33" s="81"/>
      <c r="E33" s="81"/>
      <c r="F33" s="81"/>
      <c r="G33" s="81"/>
      <c r="H33" s="81"/>
      <c r="I33" s="81"/>
      <c r="J33" s="81"/>
    </row>
    <row r="35" ht="15.00" customHeight="true">
      <c r="A35" s="82" t="s">
        <v>287</v>
      </c>
      <c r="B35" s="4"/>
      <c r="C35" s="4"/>
      <c r="D35" s="4"/>
      <c r="E35" s="4"/>
      <c r="F35" s="4"/>
      <c r="G35" s="5"/>
      <c r="H35" s="33">
        <f>=SUMIF(G4:G34,"Ganho ✅",H4:H34)</f>
      </c>
      <c r="I35" s="83" t="s">
        <v>288</v>
      </c>
      <c r="J35" s="10"/>
    </row>
  </sheetData>
  <mergeCells count="2">
    <mergeCell ref="A1:J1"/>
    <mergeCell ref="A35:G35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6</vt:i4>
      </vt:variant>
    </vt:vector>
  </HeadingPairs>
  <TitlesOfParts>
    <vt:vector size="6" baseType="lpstr">
      <vt:lpstr>1_Premissas</vt:lpstr>
      <vt:lpstr>2_DRE_Moderado</vt:lpstr>
      <vt:lpstr>3_Comparativo_Cenarios</vt:lpstr>
      <vt:lpstr>4_Credito_BNB_Sebrae</vt:lpstr>
      <vt:lpstr>5_Fluxo_BreakEven</vt:lpstr>
      <vt:lpstr>6_CRM_Clientes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2026-04-28T18:39:28Z</dcterms:created>
  <dcterms:modified xsi:type="dcterms:W3CDTF">2026-04-28T18:39:28Z</dcterms:modified>
</cp:coreProperties>
</file>