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. Índice" sheetId="1" state="visible" r:id="rId1"/>
    <sheet xmlns:r="http://schemas.openxmlformats.org/officeDocument/2006/relationships" name="01. Dashboard UTI" sheetId="2" state="visible" r:id="rId2"/>
    <sheet xmlns:r="http://schemas.openxmlformats.org/officeDocument/2006/relationships" name="02. SAPS 3 e Prioridade" sheetId="3" state="visible" r:id="rId3"/>
    <sheet xmlns:r="http://schemas.openxmlformats.org/officeDocument/2006/relationships" name="03. Dispositivos (Devices)" sheetId="4" state="visible" r:id="rId4"/>
    <sheet xmlns:r="http://schemas.openxmlformats.org/officeDocument/2006/relationships" name="04. DVA e Sedação" sheetId="5" state="visible" r:id="rId5"/>
    <sheet xmlns:r="http://schemas.openxmlformats.org/officeDocument/2006/relationships" name="05. ATB - Ajuste Renal" sheetId="6" state="visible" r:id="rId6"/>
    <sheet xmlns:r="http://schemas.openxmlformats.org/officeDocument/2006/relationships" name="06. Meds - Ajuste Renal" sheetId="7" state="visible" r:id="rId7"/>
    <sheet xmlns:r="http://schemas.openxmlformats.org/officeDocument/2006/relationships" name="07. Anticoagulação" sheetId="8" state="visible" r:id="rId8"/>
    <sheet xmlns:r="http://schemas.openxmlformats.org/officeDocument/2006/relationships" name="08. VM e Gasometria" sheetId="9" state="visible" r:id="rId9"/>
    <sheet xmlns:r="http://schemas.openxmlformats.org/officeDocument/2006/relationships" name="09. Sepse e Choque" sheetId="10" state="visible" r:id="rId10"/>
    <sheet xmlns:r="http://schemas.openxmlformats.org/officeDocument/2006/relationships" name="10. Checklist Diário" sheetId="11" state="visible" r:id="rId11"/>
    <sheet xmlns:r="http://schemas.openxmlformats.org/officeDocument/2006/relationships" name="11. Calculadoras" sheetId="12" state="visible" r:id="rId12"/>
    <sheet xmlns:r="http://schemas.openxmlformats.org/officeDocument/2006/relationships" name="12. Fluxogramas" sheetId="13" state="visible" r:id="rId13"/>
    <sheet xmlns:r="http://schemas.openxmlformats.org/officeDocument/2006/relationships" name="13. Alertas e CI" sheetId="14" state="visible" r:id="rId14"/>
    <sheet xmlns:r="http://schemas.openxmlformats.org/officeDocument/2006/relationships" name="14. Passagem de Plantão" sheetId="15" state="visible" r:id="rId15"/>
    <sheet xmlns:r="http://schemas.openxmlformats.org/officeDocument/2006/relationships" name="15. Referências e Avisos" sheetId="16" state="visible" r:id="rId16"/>
  </sheets>
  <definedNames>
    <definedName name="_xlnm._FilterDatabase" localSheetId="1" hidden="1">'01. Dashboard UTI'!$A$1:$Z$100</definedName>
    <definedName name="_xlnm._FilterDatabase" localSheetId="3" hidden="1">'03. Dispositivos (Devices)'!$A$1:$J$100</definedName>
    <definedName name="_xlnm._FilterDatabase" localSheetId="5" hidden="1">'05. ATB - Ajuste Renal'!$A$1:$H$100</definedName>
    <definedName name="_xlnm._FilterDatabase" localSheetId="14" hidden="1">'14. Passagem de Plantão'!$A$1:$J$50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563C1"/>
      <u val="single"/>
    </font>
    <font>
      <b val="1"/>
      <color rgb="00FFFFFF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2F75B5"/>
        <bgColor rgb="002F75B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9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01. Dashboard UTI'!A1" TargetMode="External" Id="rId1"/><Relationship Type="http://schemas.openxmlformats.org/officeDocument/2006/relationships/hyperlink" Target="#'02. SAPS 3 e Prioridade'!A1" TargetMode="External" Id="rId2"/><Relationship Type="http://schemas.openxmlformats.org/officeDocument/2006/relationships/hyperlink" Target="#'03. Dispositivos (Devices)'!A1" TargetMode="External" Id="rId3"/><Relationship Type="http://schemas.openxmlformats.org/officeDocument/2006/relationships/hyperlink" Target="#'04. DVA e Seda&#231;&#227;o'!A1" TargetMode="External" Id="rId4"/><Relationship Type="http://schemas.openxmlformats.org/officeDocument/2006/relationships/hyperlink" Target="#'05. ATB - Ajuste Renal'!A1" TargetMode="External" Id="rId5"/><Relationship Type="http://schemas.openxmlformats.org/officeDocument/2006/relationships/hyperlink" Target="#'06. Meds - Ajuste Renal'!A1" TargetMode="External" Id="rId6"/><Relationship Type="http://schemas.openxmlformats.org/officeDocument/2006/relationships/hyperlink" Target="#'07. Anticoagula&#231;&#227;o'!A1" TargetMode="External" Id="rId7"/><Relationship Type="http://schemas.openxmlformats.org/officeDocument/2006/relationships/hyperlink" Target="#'08. VM e Gasometria'!A1" TargetMode="External" Id="rId8"/><Relationship Type="http://schemas.openxmlformats.org/officeDocument/2006/relationships/hyperlink" Target="#'09. Sepse e Choque'!A1" TargetMode="External" Id="rId9"/><Relationship Type="http://schemas.openxmlformats.org/officeDocument/2006/relationships/hyperlink" Target="#'10. Checklist Di&#225;rio'!A1" TargetMode="External" Id="rId10"/><Relationship Type="http://schemas.openxmlformats.org/officeDocument/2006/relationships/hyperlink" Target="#'11. Calculadoras'!A1" TargetMode="External" Id="rId11"/><Relationship Type="http://schemas.openxmlformats.org/officeDocument/2006/relationships/hyperlink" Target="#'12. Fluxogramas'!A1" TargetMode="External" Id="rId12"/><Relationship Type="http://schemas.openxmlformats.org/officeDocument/2006/relationships/hyperlink" Target="#'13. Alertas e CI'!A1" TargetMode="External" Id="rId13"/><Relationship Type="http://schemas.openxmlformats.org/officeDocument/2006/relationships/hyperlink" Target="#'14. Passagem de Plant&#227;o'!A1" TargetMode="External" Id="rId14"/><Relationship Type="http://schemas.openxmlformats.org/officeDocument/2006/relationships/hyperlink" Target="#'15. Refer&#234;ncias e Avisos'!A1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ÍNDICE - PLANILHA DE GESTÃO E APOIO À DECISÃO UTI ADULTO</t>
        </is>
      </c>
    </row>
    <row r="2">
      <c r="A2" t="inlineStr">
        <is>
          <t>Clique nos links abaixo para navegar pelas abas.</t>
        </is>
      </c>
    </row>
    <row r="4">
      <c r="A4" s="1" t="inlineStr">
        <is>
          <t>01. Dashboard UTI</t>
        </is>
      </c>
    </row>
    <row r="5">
      <c r="A5" s="1" t="inlineStr">
        <is>
          <t>02. SAPS 3 e Prioridade</t>
        </is>
      </c>
    </row>
    <row r="6">
      <c r="A6" s="1" t="inlineStr">
        <is>
          <t>03. Dispositivos (Devices)</t>
        </is>
      </c>
    </row>
    <row r="7">
      <c r="A7" s="1" t="inlineStr">
        <is>
          <t>04. DVA e Sedação</t>
        </is>
      </c>
    </row>
    <row r="8">
      <c r="A8" s="1" t="inlineStr">
        <is>
          <t>05. ATB - Ajuste Renal</t>
        </is>
      </c>
    </row>
    <row r="9">
      <c r="A9" s="1" t="inlineStr">
        <is>
          <t>06. Meds - Ajuste Renal</t>
        </is>
      </c>
    </row>
    <row r="10">
      <c r="A10" s="1" t="inlineStr">
        <is>
          <t>07. Anticoagulação</t>
        </is>
      </c>
    </row>
    <row r="11">
      <c r="A11" s="1" t="inlineStr">
        <is>
          <t>08. VM e Gasometria</t>
        </is>
      </c>
    </row>
    <row r="12">
      <c r="A12" s="1" t="inlineStr">
        <is>
          <t>09. Sepse e Choque</t>
        </is>
      </c>
    </row>
    <row r="13">
      <c r="A13" s="1" t="inlineStr">
        <is>
          <t>10. Checklist Diário</t>
        </is>
      </c>
    </row>
    <row r="14">
      <c r="A14" s="1" t="inlineStr">
        <is>
          <t>11. Calculadoras</t>
        </is>
      </c>
    </row>
    <row r="15">
      <c r="A15" s="1" t="inlineStr">
        <is>
          <t>12. Fluxogramas</t>
        </is>
      </c>
    </row>
    <row r="16">
      <c r="A16" s="1" t="inlineStr">
        <is>
          <t>13. Alertas e CI</t>
        </is>
      </c>
    </row>
    <row r="17">
      <c r="A17" s="1" t="inlineStr">
        <is>
          <t>14. Passagem de Plantão</t>
        </is>
      </c>
    </row>
    <row r="18">
      <c r="A18" s="1" t="inlineStr">
        <is>
          <t>15. Referências e Avisos</t>
        </is>
      </c>
    </row>
  </sheetData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  <hyperlink xmlns:r="http://schemas.openxmlformats.org/officeDocument/2006/relationships" ref="A11" r:id="rId8"/>
    <hyperlink xmlns:r="http://schemas.openxmlformats.org/officeDocument/2006/relationships" ref="A12" r:id="rId9"/>
    <hyperlink xmlns:r="http://schemas.openxmlformats.org/officeDocument/2006/relationships" ref="A13" r:id="rId10"/>
    <hyperlink xmlns:r="http://schemas.openxmlformats.org/officeDocument/2006/relationships" ref="A14" r:id="rId11"/>
    <hyperlink xmlns:r="http://schemas.openxmlformats.org/officeDocument/2006/relationships" ref="A15" r:id="rId12"/>
    <hyperlink xmlns:r="http://schemas.openxmlformats.org/officeDocument/2006/relationships" ref="A16" r:id="rId13"/>
    <hyperlink xmlns:r="http://schemas.openxmlformats.org/officeDocument/2006/relationships" ref="A17" r:id="rId14"/>
    <hyperlink xmlns:r="http://schemas.openxmlformats.org/officeDocument/2006/relationships" ref="A18" r:id="rId1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5" customWidth="1" min="2" max="2"/>
    <col width="7" customWidth="1" min="3" max="3"/>
    <col width="15" customWidth="1" min="4" max="4"/>
    <col width="14" customWidth="1" min="5" max="5"/>
    <col width="23" customWidth="1" min="6" max="6"/>
    <col width="18" customWidth="1" min="7" max="7"/>
    <col width="8" customWidth="1" min="8" max="8"/>
    <col width="22" customWidth="1" min="9" max="9"/>
    <col width="12" customWidth="1" min="10" max="10"/>
    <col width="12" customWidth="1" min="11" max="11"/>
    <col width="6" customWidth="1" min="12" max="12"/>
    <col width="19" customWidth="1" min="13" max="13"/>
    <col width="9" customWidth="1" min="14" max="14"/>
    <col width="11" customWidth="1" min="15" max="15"/>
    <col width="18" customWidth="1" min="16" max="16"/>
    <col width="11" customWidth="1" min="17" max="17"/>
    <col width="10" customWidth="1" min="18" max="18"/>
    <col width="20" customWidth="1" min="19" max="19"/>
    <col width="14" customWidth="1" min="20" max="20"/>
    <col width="16" customWidth="1" min="21" max="21"/>
    <col width="9" customWidth="1" min="22" max="22"/>
    <col width="19" customWidth="1" min="23" max="23"/>
    <col width="10" customWidth="1" min="24" max="24"/>
    <col width="16" customWidth="1" min="25" max="25"/>
    <col width="14" customWidth="1" min="26" max="26"/>
  </cols>
  <sheetData>
    <row r="1">
      <c r="A1" s="2" t="inlineStr">
        <is>
          <t>Leito</t>
        </is>
      </c>
      <c r="B1" s="2" t="inlineStr">
        <is>
          <t>Nome/Iniciais</t>
        </is>
      </c>
      <c r="C1" s="2" t="inlineStr">
        <is>
          <t>Idade</t>
        </is>
      </c>
      <c r="D1" s="2" t="inlineStr">
        <is>
          <t>Data Adm Hosp</t>
        </is>
      </c>
      <c r="E1" s="2" t="inlineStr">
        <is>
          <t>Data Adm UTI</t>
        </is>
      </c>
      <c r="F1" s="2" t="inlineStr">
        <is>
          <t>Diagnóstico Principal</t>
        </is>
      </c>
      <c r="G1" s="2" t="inlineStr">
        <is>
          <t>Problemas Ativos</t>
        </is>
      </c>
      <c r="H1" s="2" t="inlineStr">
        <is>
          <t>SAPS 3</t>
        </is>
      </c>
      <c r="I1" s="2" t="inlineStr">
        <is>
          <t>Mortalidade Est. (%)</t>
        </is>
      </c>
      <c r="J1" s="2" t="inlineStr">
        <is>
          <t>Prioridade</t>
        </is>
      </c>
      <c r="K1" s="2" t="inlineStr">
        <is>
          <t>Ventilação</t>
        </is>
      </c>
      <c r="L1" s="2" t="inlineStr">
        <is>
          <t>DVA</t>
        </is>
      </c>
      <c r="M1" s="2" t="inlineStr">
        <is>
          <t>Nora (mcg/kg/min)</t>
        </is>
      </c>
      <c r="N1" s="2" t="inlineStr">
        <is>
          <t>Sedação</t>
        </is>
      </c>
      <c r="O1" s="2" t="inlineStr">
        <is>
          <t>RASS Alvo</t>
        </is>
      </c>
      <c r="P1" s="2" t="inlineStr">
        <is>
          <t>Delirium CAM-ICU</t>
        </is>
      </c>
      <c r="Q1" s="2" t="inlineStr">
        <is>
          <t>ATB Atual</t>
        </is>
      </c>
      <c r="R1" s="2" t="inlineStr">
        <is>
          <t>Dias ATB</t>
        </is>
      </c>
      <c r="S1" s="2" t="inlineStr">
        <is>
          <t>Culturas Pendentes</t>
        </is>
      </c>
      <c r="T1" s="2" t="inlineStr">
        <is>
          <t>Função Renal</t>
        </is>
      </c>
      <c r="U1" s="2" t="inlineStr">
        <is>
          <t>Anticoagulação</t>
        </is>
      </c>
      <c r="V1" s="2" t="inlineStr">
        <is>
          <t>Devices</t>
        </is>
      </c>
      <c r="W1" s="2" t="inlineStr">
        <is>
          <t>Pendências do Dia</t>
        </is>
      </c>
      <c r="X1" s="2" t="inlineStr">
        <is>
          <t>Meta 24h</t>
        </is>
      </c>
      <c r="Y1" s="2" t="inlineStr">
        <is>
          <t>Critérios Alta</t>
        </is>
      </c>
      <c r="Z1" s="2" t="inlineStr">
        <is>
          <t>Risco Global</t>
        </is>
      </c>
    </row>
    <row r="2"/>
  </sheetData>
  <autoFilter ref="A1:Z100"/>
  <conditionalFormatting sqref="L2:L100">
    <cfRule type="cellIs" priority="1" operator="equal" dxfId="0">
      <formula>"Sim"</formula>
    </cfRule>
  </conditionalFormatting>
  <conditionalFormatting sqref="K2:K100">
    <cfRule type="cellIs" priority="2" operator="equal" dxfId="0">
      <formula>"IOT"</formula>
    </cfRule>
  </conditionalFormatting>
  <conditionalFormatting sqref="T2:T100">
    <cfRule type="cellIs" priority="3" operator="equal" dxfId="0">
      <formula>"KDIGO 3"</formula>
    </cfRule>
    <cfRule type="cellIs" priority="4" operator="equal" dxfId="0">
      <formula>"HD"</formula>
    </cfRule>
  </conditionalFormatting>
  <dataValidations count="5">
    <dataValidation sqref="J2:J100" showDropDown="0" showInputMessage="0" showErrorMessage="0" allowBlank="1" type="list">
      <formula1>"P1,P2,P3,P4"</formula1>
    </dataValidation>
    <dataValidation sqref="K2:K100" showDropDown="0" showInputMessage="0" showErrorMessage="0" allowBlank="1" type="list">
      <formula1>"AA,O2,VNI,CNAF,IOT,TQT"</formula1>
    </dataValidation>
    <dataValidation sqref="L2:L100" showDropDown="0" showInputMessage="0" showErrorMessage="0" allowBlank="1" type="list">
      <formula1>"Sim,Não"</formula1>
    </dataValidation>
    <dataValidation sqref="T2:T100" showDropDown="0" showInputMessage="0" showErrorMessage="0" allowBlank="1" type="list">
      <formula1>"Normal,KDIGO 1,KDIGO 2,KDIGO 3,HD,CRRT"</formula1>
    </dataValidation>
    <dataValidation sqref="Z2:Z100" showDropDown="0" showInputMessage="0" showErrorMessage="0" allowBlank="1" type="list">
      <formula1>"Baixo,Moderado,Alto,Crítico"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2" customWidth="1" min="3" max="3"/>
    <col width="26" customWidth="1" min="4" max="4"/>
    <col width="30" customWidth="1" min="5" max="5"/>
    <col width="30" customWidth="1" min="6" max="6"/>
  </cols>
  <sheetData>
    <row r="1">
      <c r="A1" t="inlineStr">
        <is>
          <t>SAPS 3 - CÁLCULO RÁPIDO (Apoio)</t>
        </is>
      </c>
      <c r="B1" t="inlineStr"/>
      <c r="C1" t="inlineStr"/>
      <c r="D1" t="inlineStr">
        <is>
          <t>PRIORIDADES DE UTI (CFM)</t>
        </is>
      </c>
    </row>
    <row r="2">
      <c r="A2" s="2" t="inlineStr">
        <is>
          <t>Parâmetro</t>
        </is>
      </c>
      <c r="B2" s="2" t="inlineStr">
        <is>
          <t>Pontos</t>
        </is>
      </c>
      <c r="C2" s="2" t="inlineStr"/>
      <c r="D2" s="2" t="inlineStr">
        <is>
          <t>Classe</t>
        </is>
      </c>
      <c r="E2" s="2" t="inlineStr">
        <is>
          <t>Descrição</t>
        </is>
      </c>
      <c r="F2" s="2" t="inlineStr">
        <is>
          <t>Conduta Sugerida</t>
        </is>
      </c>
    </row>
    <row r="3">
      <c r="A3" t="inlineStr">
        <is>
          <t>Idade e Comorbidades</t>
        </is>
      </c>
      <c r="B3" t="n">
        <v>0</v>
      </c>
      <c r="C3" t="inlineStr"/>
      <c r="D3" t="inlineStr">
        <is>
          <t>P1</t>
        </is>
      </c>
      <c r="E3" t="inlineStr">
        <is>
          <t>Paciente instável (choque, VM, sepse grave). Necessita suporte pleno.</t>
        </is>
      </c>
      <c r="F3" t="inlineStr">
        <is>
          <t>Admissão imediata. Reavaliar a cada 2h.</t>
        </is>
      </c>
    </row>
    <row r="4">
      <c r="A4" t="inlineStr">
        <is>
          <t>Motivo da Admissão</t>
        </is>
      </c>
      <c r="B4" t="n">
        <v>0</v>
      </c>
      <c r="C4" t="inlineStr"/>
      <c r="D4" t="inlineStr">
        <is>
          <t>P2</t>
        </is>
      </c>
      <c r="E4" t="inlineStr">
        <is>
          <t>Monitorização intensiva. Alto risco de deterioração.</t>
        </is>
      </c>
      <c r="F4" t="inlineStr">
        <is>
          <t>Admissão. Monitorização contínua.</t>
        </is>
      </c>
    </row>
    <row r="5">
      <c r="A5" t="inlineStr">
        <is>
          <t>Variáveis Fisiológicas</t>
        </is>
      </c>
      <c r="B5" t="n">
        <v>0</v>
      </c>
      <c r="C5" t="inlineStr"/>
      <c r="D5" t="inlineStr">
        <is>
          <t>P3</t>
        </is>
      </c>
      <c r="E5" t="inlineStr">
        <is>
          <t>Doença crítica, mas com baixa probabilidade de recuperação total / limitação terapêutica.</t>
        </is>
      </c>
      <c r="F5" t="inlineStr">
        <is>
          <t>Admissão com teto terapêutico claro.</t>
        </is>
      </c>
    </row>
    <row r="6">
      <c r="A6" t="inlineStr">
        <is>
          <t>SAPS 3 TOTAL</t>
        </is>
      </c>
      <c r="B6">
        <f>SUM(B3:B5)</f>
        <v/>
      </c>
      <c r="C6" t="inlineStr"/>
      <c r="D6" t="inlineStr">
        <is>
          <t>P4</t>
        </is>
      </c>
      <c r="E6" t="inlineStr">
        <is>
          <t>Baixa prioridade (muito estável ou prognóstico muito reservado sem benefício).</t>
        </is>
      </c>
      <c r="F6" t="inlineStr">
        <is>
          <t>Considerar cuidados paliativos ou enfermaria.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3" customWidth="1" min="3" max="3"/>
    <col width="7" customWidth="1" min="4" max="4"/>
    <col width="15" customWidth="1" min="5" max="5"/>
    <col width="30" customWidth="1" min="6" max="6"/>
    <col width="20" customWidth="1" min="7" max="7"/>
    <col width="18" customWidth="1" min="8" max="8"/>
    <col width="20" customWidth="1" min="9" max="9"/>
    <col width="22" customWidth="1" min="10" max="10"/>
  </cols>
  <sheetData>
    <row r="1">
      <c r="A1" s="2" t="inlineStr">
        <is>
          <t>Leito</t>
        </is>
      </c>
      <c r="B1" s="2" t="inlineStr">
        <is>
          <t>Paciente</t>
        </is>
      </c>
      <c r="C1" s="2" t="inlineStr">
        <is>
          <t>Dispositivo</t>
        </is>
      </c>
      <c r="D1" s="2" t="inlineStr">
        <is>
          <t>Local</t>
        </is>
      </c>
      <c r="E1" s="2" t="inlineStr">
        <is>
          <t>Data Inserção</t>
        </is>
      </c>
      <c r="F1" s="2" t="inlineStr">
        <is>
          <t>Dias em Uso</t>
        </is>
      </c>
      <c r="G1" s="2" t="inlineStr">
        <is>
          <t>Prazo Troca (Dias)</t>
        </is>
      </c>
      <c r="H1" s="2" t="inlineStr">
        <is>
          <t>Sinais Infecção?</t>
        </is>
      </c>
      <c r="I1" s="2" t="inlineStr">
        <is>
          <t>Indicação Mantida?</t>
        </is>
      </c>
      <c r="J1" s="2" t="inlineStr">
        <is>
          <t>Retirar/Trocar Hoje?</t>
        </is>
      </c>
    </row>
    <row r="2">
      <c r="F2">
        <f>IF(E2&lt;&gt;"", INT(TODAY()-E2), "")</f>
        <v/>
      </c>
    </row>
    <row r="3">
      <c r="F3">
        <f>IF(E3&lt;&gt;"", INT(TODAY()-E3), "")</f>
        <v/>
      </c>
    </row>
    <row r="4">
      <c r="F4">
        <f>IF(E4&lt;&gt;"", INT(TODAY()-E4), "")</f>
        <v/>
      </c>
    </row>
    <row r="5">
      <c r="F5">
        <f>IF(E5&lt;&gt;"", INT(TODAY()-E5), "")</f>
        <v/>
      </c>
    </row>
    <row r="6">
      <c r="F6">
        <f>IF(E6&lt;&gt;"", INT(TODAY()-E6), "")</f>
        <v/>
      </c>
    </row>
    <row r="7">
      <c r="F7">
        <f>IF(E7&lt;&gt;"", INT(TODAY()-E7), "")</f>
        <v/>
      </c>
    </row>
    <row r="8">
      <c r="F8">
        <f>IF(E8&lt;&gt;"", INT(TODAY()-E8), "")</f>
        <v/>
      </c>
    </row>
    <row r="9">
      <c r="F9">
        <f>IF(E9&lt;&gt;"", INT(TODAY()-E9), "")</f>
        <v/>
      </c>
    </row>
    <row r="10">
      <c r="F10">
        <f>IF(E10&lt;&gt;"", INT(TODAY()-E10), "")</f>
        <v/>
      </c>
    </row>
    <row r="11">
      <c r="F11">
        <f>IF(E11&lt;&gt;"", INT(TODAY()-E11), "")</f>
        <v/>
      </c>
    </row>
    <row r="12">
      <c r="F12">
        <f>IF(E12&lt;&gt;"", INT(TODAY()-E12), "")</f>
        <v/>
      </c>
    </row>
    <row r="13">
      <c r="F13">
        <f>IF(E13&lt;&gt;"", INT(TODAY()-E13), "")</f>
        <v/>
      </c>
    </row>
    <row r="14">
      <c r="F14">
        <f>IF(E14&lt;&gt;"", INT(TODAY()-E14), "")</f>
        <v/>
      </c>
    </row>
    <row r="15">
      <c r="F15">
        <f>IF(E15&lt;&gt;"", INT(TODAY()-E15), "")</f>
        <v/>
      </c>
    </row>
    <row r="16">
      <c r="F16">
        <f>IF(E16&lt;&gt;"", INT(TODAY()-E16), "")</f>
        <v/>
      </c>
    </row>
    <row r="17">
      <c r="F17">
        <f>IF(E17&lt;&gt;"", INT(TODAY()-E17), "")</f>
        <v/>
      </c>
    </row>
    <row r="18">
      <c r="F18">
        <f>IF(E18&lt;&gt;"", INT(TODAY()-E18), "")</f>
        <v/>
      </c>
    </row>
    <row r="19">
      <c r="F19">
        <f>IF(E19&lt;&gt;"", INT(TODAY()-E19), "")</f>
        <v/>
      </c>
    </row>
    <row r="20">
      <c r="F20">
        <f>IF(E20&lt;&gt;"", INT(TODAY()-E20), "")</f>
        <v/>
      </c>
    </row>
    <row r="21">
      <c r="F21">
        <f>IF(E21&lt;&gt;"", INT(TODAY()-E21), "")</f>
        <v/>
      </c>
    </row>
    <row r="22">
      <c r="F22">
        <f>IF(E22&lt;&gt;"", INT(TODAY()-E22), "")</f>
        <v/>
      </c>
    </row>
    <row r="23">
      <c r="F23">
        <f>IF(E23&lt;&gt;"", INT(TODAY()-E23), "")</f>
        <v/>
      </c>
    </row>
    <row r="24">
      <c r="F24">
        <f>IF(E24&lt;&gt;"", INT(TODAY()-E24), "")</f>
        <v/>
      </c>
    </row>
    <row r="25">
      <c r="F25">
        <f>IF(E25&lt;&gt;"", INT(TODAY()-E25), "")</f>
        <v/>
      </c>
    </row>
    <row r="26">
      <c r="F26">
        <f>IF(E26&lt;&gt;"", INT(TODAY()-E26), "")</f>
        <v/>
      </c>
    </row>
    <row r="27">
      <c r="F27">
        <f>IF(E27&lt;&gt;"", INT(TODAY()-E27), "")</f>
        <v/>
      </c>
    </row>
    <row r="28">
      <c r="F28">
        <f>IF(E28&lt;&gt;"", INT(TODAY()-E28), "")</f>
        <v/>
      </c>
    </row>
    <row r="29">
      <c r="F29">
        <f>IF(E29&lt;&gt;"", INT(TODAY()-E29), "")</f>
        <v/>
      </c>
    </row>
    <row r="30">
      <c r="F30">
        <f>IF(E30&lt;&gt;"", INT(TODAY()-E30), "")</f>
        <v/>
      </c>
    </row>
    <row r="31">
      <c r="F31">
        <f>IF(E31&lt;&gt;"", INT(TODAY()-E31), "")</f>
        <v/>
      </c>
    </row>
    <row r="32">
      <c r="F32">
        <f>IF(E32&lt;&gt;"", INT(TODAY()-E32), "")</f>
        <v/>
      </c>
    </row>
    <row r="33">
      <c r="F33">
        <f>IF(E33&lt;&gt;"", INT(TODAY()-E33), "")</f>
        <v/>
      </c>
    </row>
    <row r="34">
      <c r="F34">
        <f>IF(E34&lt;&gt;"", INT(TODAY()-E34), "")</f>
        <v/>
      </c>
    </row>
    <row r="35">
      <c r="F35">
        <f>IF(E35&lt;&gt;"", INT(TODAY()-E35), "")</f>
        <v/>
      </c>
    </row>
    <row r="36">
      <c r="F36">
        <f>IF(E36&lt;&gt;"", INT(TODAY()-E36), "")</f>
        <v/>
      </c>
    </row>
    <row r="37">
      <c r="F37">
        <f>IF(E37&lt;&gt;"", INT(TODAY()-E37), "")</f>
        <v/>
      </c>
    </row>
    <row r="38">
      <c r="F38">
        <f>IF(E38&lt;&gt;"", INT(TODAY()-E38), "")</f>
        <v/>
      </c>
    </row>
    <row r="39">
      <c r="F39">
        <f>IF(E39&lt;&gt;"", INT(TODAY()-E39), "")</f>
        <v/>
      </c>
    </row>
    <row r="40">
      <c r="F40">
        <f>IF(E40&lt;&gt;"", INT(TODAY()-E40), "")</f>
        <v/>
      </c>
    </row>
    <row r="41">
      <c r="F41">
        <f>IF(E41&lt;&gt;"", INT(TODAY()-E41), "")</f>
        <v/>
      </c>
    </row>
    <row r="42">
      <c r="F42">
        <f>IF(E42&lt;&gt;"", INT(TODAY()-E42), "")</f>
        <v/>
      </c>
    </row>
    <row r="43">
      <c r="F43">
        <f>IF(E43&lt;&gt;"", INT(TODAY()-E43), "")</f>
        <v/>
      </c>
    </row>
    <row r="44">
      <c r="F44">
        <f>IF(E44&lt;&gt;"", INT(TODAY()-E44), "")</f>
        <v/>
      </c>
    </row>
    <row r="45">
      <c r="F45">
        <f>IF(E45&lt;&gt;"", INT(TODAY()-E45), "")</f>
        <v/>
      </c>
    </row>
    <row r="46">
      <c r="F46">
        <f>IF(E46&lt;&gt;"", INT(TODAY()-E46), "")</f>
        <v/>
      </c>
    </row>
    <row r="47">
      <c r="F47">
        <f>IF(E47&lt;&gt;"", INT(TODAY()-E47), "")</f>
        <v/>
      </c>
    </row>
    <row r="48">
      <c r="F48">
        <f>IF(E48&lt;&gt;"", INT(TODAY()-E48), "")</f>
        <v/>
      </c>
    </row>
    <row r="49">
      <c r="F49">
        <f>IF(E49&lt;&gt;"", INT(TODAY()-E49), "")</f>
        <v/>
      </c>
    </row>
  </sheetData>
  <autoFilter ref="A1:J100"/>
  <conditionalFormatting sqref="F2:F100">
    <cfRule type="expression" priority="1" dxfId="0">
      <formula>F2&gt;=G2</formula>
    </cfRule>
  </conditionalFormatting>
  <dataValidations count="2">
    <dataValidation sqref="C2:C100" showDropDown="0" showInputMessage="0" showErrorMessage="0" allowBlank="1" type="list">
      <formula1>"CVC,PAM,SVD,SNE,SNG,TOT,TQT,Dreno Tórax,Dreno Abdome,Cateter HD,PICC,AVP"</formula1>
    </dataValidation>
    <dataValidation sqref="H2:H100 I2:I100 J2:J100" showDropDown="0" showInputMessage="0" showErrorMessage="0" allowBlank="1" type="list">
      <formula1>"Sim,Não"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23" customWidth="1" min="3" max="3"/>
    <col width="27" customWidth="1" min="4" max="4"/>
    <col width="30" customWidth="1" min="5" max="5"/>
  </cols>
  <sheetData>
    <row r="1">
      <c r="A1" s="2" t="inlineStr">
        <is>
          <t>Fármaco</t>
        </is>
      </c>
      <c r="B1" s="2" t="inlineStr">
        <is>
          <t>Classe/Indicação</t>
        </is>
      </c>
      <c r="C1" s="2" t="inlineStr">
        <is>
          <t>Dose Usual</t>
        </is>
      </c>
      <c r="D1" s="2" t="inlineStr">
        <is>
          <t>Preparo Comum</t>
        </is>
      </c>
      <c r="E1" s="2" t="inlineStr">
        <is>
          <t>Efeitos Adversos / Cuidados</t>
        </is>
      </c>
    </row>
    <row r="2">
      <c r="A2" t="inlineStr">
        <is>
          <t>Noradrenalina</t>
        </is>
      </c>
      <c r="B2" t="inlineStr">
        <is>
          <t>Vasopressor (1ª linha choque)</t>
        </is>
      </c>
      <c r="C2" t="inlineStr">
        <is>
          <t>0.01 - 3.0 mcg/kg/min</t>
        </is>
      </c>
      <c r="D2" t="inlineStr">
        <is>
          <t>16mg em 250ml SG5%</t>
        </is>
      </c>
      <c r="E2" t="inlineStr">
        <is>
          <t>Isquemia extremidades, taquicardia.</t>
        </is>
      </c>
    </row>
    <row r="3">
      <c r="A3" t="inlineStr">
        <is>
          <t>Vasopressina</t>
        </is>
      </c>
      <c r="B3" t="inlineStr">
        <is>
          <t>Vasopressor (Choque refratário)</t>
        </is>
      </c>
      <c r="C3" t="inlineStr">
        <is>
          <t>0.01 - 0.04 U/min</t>
        </is>
      </c>
      <c r="D3" t="inlineStr">
        <is>
          <t>20U em 100ml SF</t>
        </is>
      </c>
      <c r="E3" t="inlineStr">
        <is>
          <t>Isquemia mesentérica. Não titular para PAM aguda.</t>
        </is>
      </c>
    </row>
    <row r="4">
      <c r="A4" t="inlineStr">
        <is>
          <t>Dobutamina</t>
        </is>
      </c>
      <c r="B4" t="inlineStr">
        <is>
          <t>Inotrópico (Baixo DC)</t>
        </is>
      </c>
      <c r="C4" t="inlineStr">
        <is>
          <t>2 - 20 mcg/kg/min</t>
        </is>
      </c>
      <c r="D4" t="inlineStr">
        <is>
          <t>250mg em 250ml SG5%</t>
        </is>
      </c>
      <c r="E4" t="inlineStr">
        <is>
          <t>Taquicardia, arritmias, hipotensão inicial.</t>
        </is>
      </c>
    </row>
    <row r="5">
      <c r="A5" t="inlineStr">
        <is>
          <t>Fentanil</t>
        </is>
      </c>
      <c r="B5" t="inlineStr">
        <is>
          <t>Analgésico Opióide</t>
        </is>
      </c>
      <c r="C5" t="inlineStr">
        <is>
          <t>1 - 3 ml/h (titular)</t>
        </is>
      </c>
      <c r="D5" t="inlineStr">
        <is>
          <t>Puro ou 10amp em 150ml SF</t>
        </is>
      </c>
      <c r="E5" t="inlineStr">
        <is>
          <t>Rigidez torácica, bradicardia, acúmulo na disfunção hepática.</t>
        </is>
      </c>
    </row>
    <row r="6">
      <c r="A6" t="inlineStr">
        <is>
          <t>Propofol</t>
        </is>
      </c>
      <c r="B6" t="inlineStr">
        <is>
          <t>Sedativo (Despertar rápido)</t>
        </is>
      </c>
      <c r="C6" t="inlineStr">
        <is>
          <t>5 - 50 mcg/kg/min</t>
        </is>
      </c>
      <c r="D6" t="inlineStr">
        <is>
          <t>Puro (2%)</t>
        </is>
      </c>
      <c r="E6" t="inlineStr">
        <is>
          <t>Hipotensão, hipertrigliceridemia, PRIS.</t>
        </is>
      </c>
    </row>
    <row r="7">
      <c r="A7" t="inlineStr">
        <is>
          <t>Dexmedetomidina</t>
        </is>
      </c>
      <c r="B7" t="inlineStr">
        <is>
          <t>Sedação consciente (Alfa2)</t>
        </is>
      </c>
      <c r="C7" t="inlineStr">
        <is>
          <t>0.2 - 1.5 mcg/kg/h</t>
        </is>
      </c>
      <c r="D7" t="inlineStr">
        <is>
          <t>200mcg em 50ml SF</t>
        </is>
      </c>
      <c r="E7" t="inlineStr">
        <is>
          <t>Bradicardia, hipotensão. Não causa depressão respiratória.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24" customWidth="1" min="3" max="3"/>
    <col width="16" customWidth="1" min="4" max="4"/>
    <col width="19" customWidth="1" min="5" max="5"/>
    <col width="25" customWidth="1" min="6" max="6"/>
    <col width="26" customWidth="1" min="7" max="7"/>
    <col width="30" customWidth="1" min="8" max="8"/>
  </cols>
  <sheetData>
    <row r="1">
      <c r="A1" s="2" t="inlineStr">
        <is>
          <t>Antibiótico</t>
        </is>
      </c>
      <c r="B1" s="2" t="inlineStr">
        <is>
          <t>Espectro/Uso</t>
        </is>
      </c>
      <c r="C1" s="2" t="inlineStr">
        <is>
          <t>Dose ClCr Normal (&gt;50)</t>
        </is>
      </c>
      <c r="D1" s="2" t="inlineStr">
        <is>
          <t>ClCr 30-50</t>
        </is>
      </c>
      <c r="E1" s="2" t="inlineStr">
        <is>
          <t>ClCr 10-30</t>
        </is>
      </c>
      <c r="F1" s="2" t="inlineStr">
        <is>
          <t>ClCr &lt;10</t>
        </is>
      </c>
      <c r="G1" s="2" t="inlineStr">
        <is>
          <t>HD Intermitente</t>
        </is>
      </c>
      <c r="H1" s="2" t="inlineStr">
        <is>
          <t>Obs Clínica</t>
        </is>
      </c>
    </row>
    <row r="2">
      <c r="A2" t="inlineStr">
        <is>
          <t>Meropenem</t>
        </is>
      </c>
      <c r="B2" t="inlineStr">
        <is>
          <t>Gram -, ESBL, Pseudomonas</t>
        </is>
      </c>
      <c r="C2" t="inlineStr">
        <is>
          <t>1g a 2g 8/8h</t>
        </is>
      </c>
      <c r="D2" t="inlineStr">
        <is>
          <t>1g a 2g 12/12h</t>
        </is>
      </c>
      <c r="E2" t="inlineStr">
        <is>
          <t>500mg a 1g 12/12h</t>
        </is>
      </c>
      <c r="F2" t="inlineStr">
        <is>
          <t>500mg a 1g 24/24h</t>
        </is>
      </c>
      <c r="G2" t="inlineStr">
        <is>
          <t>Dose pós-HD</t>
        </is>
      </c>
      <c r="H2" t="inlineStr">
        <is>
          <t>Risco de convulsão se acumular</t>
        </is>
      </c>
    </row>
    <row r="3">
      <c r="A3" t="inlineStr">
        <is>
          <t>Piperacilina/Tazobactam</t>
        </is>
      </c>
      <c r="B3" t="inlineStr">
        <is>
          <t>Gram -, Pseudomonas, Anaeróbios</t>
        </is>
      </c>
      <c r="C3" t="inlineStr">
        <is>
          <t>4.5g 6/6h</t>
        </is>
      </c>
      <c r="D3" t="inlineStr">
        <is>
          <t>4.5g 8/8h</t>
        </is>
      </c>
      <c r="E3" t="inlineStr">
        <is>
          <t>4.5g 8/8h</t>
        </is>
      </c>
      <c r="F3" t="inlineStr">
        <is>
          <t>4.5g 12/12h</t>
        </is>
      </c>
      <c r="G3" t="inlineStr">
        <is>
          <t>2.25g 8/8h (Dose pós-HD)</t>
        </is>
      </c>
      <c r="H3" t="inlineStr">
        <is>
          <t>Nefrotoxicidade se + Vancomicina</t>
        </is>
      </c>
    </row>
    <row r="4">
      <c r="A4" t="inlineStr">
        <is>
          <t>Vancomicina</t>
        </is>
      </c>
      <c r="B4" t="inlineStr">
        <is>
          <t>Gram + MRSA</t>
        </is>
      </c>
      <c r="C4" t="inlineStr">
        <is>
          <t>15-20mg/kg 12/12h</t>
        </is>
      </c>
      <c r="D4" t="inlineStr">
        <is>
          <t>15mg/kg 24/24h</t>
        </is>
      </c>
      <c r="E4" t="inlineStr">
        <is>
          <t>15mg/kg 48-72h</t>
        </is>
      </c>
      <c r="F4" t="inlineStr">
        <is>
          <t>Baseado em nível sérico</t>
        </is>
      </c>
      <c r="G4" t="inlineStr">
        <is>
          <t>Aferir vancocinemia</t>
        </is>
      </c>
      <c r="H4" t="inlineStr">
        <is>
          <t>Ajuste fino via vale (15-20)</t>
        </is>
      </c>
    </row>
  </sheetData>
  <autoFilter ref="A1:H10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17" customWidth="1" min="4" max="4"/>
    <col width="20" customWidth="1" min="5" max="5"/>
    <col width="16" customWidth="1" min="6" max="6"/>
    <col width="14" customWidth="1" min="7" max="7"/>
    <col width="14" customWidth="1" min="8" max="8"/>
    <col width="19" customWidth="1" min="9" max="9"/>
    <col width="30" customWidth="1" min="10" max="10"/>
  </cols>
  <sheetData>
    <row r="1">
      <c r="A1" s="2" t="inlineStr">
        <is>
          <t>Leito</t>
        </is>
      </c>
      <c r="B1" s="2" t="inlineStr">
        <is>
          <t>Analgesia OK?</t>
        </is>
      </c>
      <c r="C1" s="2" t="inlineStr">
        <is>
          <t>Sedação Alvo?</t>
        </is>
      </c>
      <c r="D1" s="2" t="inlineStr">
        <is>
          <t>Profilaxia TVP?</t>
        </is>
      </c>
      <c r="E1" s="2" t="inlineStr">
        <is>
          <t>Profilaxia Úlcera?</t>
        </is>
      </c>
      <c r="F1" s="2" t="inlineStr">
        <is>
          <t>Cabeceira 30°?</t>
        </is>
      </c>
      <c r="G1" s="2" t="inlineStr">
        <is>
          <t>Glicemia OK?</t>
        </is>
      </c>
      <c r="H1" s="2" t="inlineStr">
        <is>
          <t>Nutrição OK?</t>
        </is>
      </c>
      <c r="I1" s="2" t="inlineStr">
        <is>
          <t>Despertar Diário?</t>
        </is>
      </c>
      <c r="J1" s="2" t="inlineStr">
        <is>
          <t>Completude (%)</t>
        </is>
      </c>
    </row>
    <row r="2">
      <c r="J2" s="3">
        <f>COUNTIF(B2:I2, "Sim") / 8</f>
        <v/>
      </c>
    </row>
    <row r="3">
      <c r="J3" s="3">
        <f>COUNTIF(B3:I3, "Sim") / 8</f>
        <v/>
      </c>
    </row>
    <row r="4">
      <c r="J4" s="3">
        <f>COUNTIF(B4:I4, "Sim") / 8</f>
        <v/>
      </c>
    </row>
    <row r="5">
      <c r="J5" s="3">
        <f>COUNTIF(B5:I5, "Sim") / 8</f>
        <v/>
      </c>
    </row>
    <row r="6">
      <c r="J6" s="3">
        <f>COUNTIF(B6:I6, "Sim") / 8</f>
        <v/>
      </c>
    </row>
    <row r="7">
      <c r="J7" s="3">
        <f>COUNTIF(B7:I7, "Sim") / 8</f>
        <v/>
      </c>
    </row>
    <row r="8">
      <c r="J8" s="3">
        <f>COUNTIF(B8:I8, "Sim") / 8</f>
        <v/>
      </c>
    </row>
    <row r="9">
      <c r="J9" s="3">
        <f>COUNTIF(B9:I9, "Sim") / 8</f>
        <v/>
      </c>
    </row>
    <row r="10">
      <c r="J10" s="3">
        <f>COUNTIF(B10:I10, "Sim") / 8</f>
        <v/>
      </c>
    </row>
    <row r="11">
      <c r="J11" s="3">
        <f>COUNTIF(B11:I11, "Sim") / 8</f>
        <v/>
      </c>
    </row>
    <row r="12">
      <c r="J12" s="3">
        <f>COUNTIF(B12:I12, "Sim") / 8</f>
        <v/>
      </c>
    </row>
    <row r="13">
      <c r="J13" s="3">
        <f>COUNTIF(B13:I13, "Sim") / 8</f>
        <v/>
      </c>
    </row>
    <row r="14">
      <c r="J14" s="3">
        <f>COUNTIF(B14:I14, "Sim") / 8</f>
        <v/>
      </c>
    </row>
    <row r="15">
      <c r="J15" s="3">
        <f>COUNTIF(B15:I15, "Sim") / 8</f>
        <v/>
      </c>
    </row>
    <row r="16">
      <c r="J16" s="3">
        <f>COUNTIF(B16:I16, "Sim") / 8</f>
        <v/>
      </c>
    </row>
    <row r="17">
      <c r="J17" s="3">
        <f>COUNTIF(B17:I17, "Sim") / 8</f>
        <v/>
      </c>
    </row>
    <row r="18">
      <c r="J18" s="3">
        <f>COUNTIF(B18:I18, "Sim") / 8</f>
        <v/>
      </c>
    </row>
    <row r="19">
      <c r="J19" s="3">
        <f>COUNTIF(B19:I19, "Sim") / 8</f>
        <v/>
      </c>
    </row>
  </sheetData>
  <dataValidations count="1">
    <dataValidation sqref="B2:B100 C2:C100 D2:D100 E2:E100 F2:F100 G2:G100 H2:H100 I2:I100" showDropDown="0" showInputMessage="0" showErrorMessage="0" allowBlank="1" type="list">
      <formula1>"Sim,Não,NA"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0" customWidth="1" min="3" max="3"/>
  </cols>
  <sheetData>
    <row r="1">
      <c r="A1" s="4" t="inlineStr">
        <is>
          <t>CALCULADORAS UTI - Preencha as células abaixo</t>
        </is>
      </c>
      <c r="B1" t="inlineStr"/>
      <c r="C1" t="inlineStr"/>
    </row>
    <row r="2">
      <c r="A2" s="4" t="inlineStr">
        <is>
          <t>PESO PREDITO (SDRA)</t>
        </is>
      </c>
      <c r="B2" t="inlineStr"/>
      <c r="C2" t="inlineStr"/>
    </row>
    <row r="3">
      <c r="A3" s="4" t="inlineStr">
        <is>
          <t>Sexo (M/F)</t>
        </is>
      </c>
      <c r="B3" t="inlineStr">
        <is>
          <t>M</t>
        </is>
      </c>
      <c r="C3" t="inlineStr"/>
    </row>
    <row r="4">
      <c r="A4" s="4" t="inlineStr">
        <is>
          <t>Altura (cm)</t>
        </is>
      </c>
      <c r="B4" t="n">
        <v>175</v>
      </c>
      <c r="C4" t="inlineStr"/>
    </row>
    <row r="5">
      <c r="A5" s="4" t="inlineStr">
        <is>
          <t>Peso Predito (kg)</t>
        </is>
      </c>
      <c r="B5">
        <f>IF(B3="M", 50+0.91*(B4-152.4), IF(B3="F", 45.5+0.91*(B4-152.4), ""))</f>
        <v/>
      </c>
      <c r="C5" t="inlineStr"/>
    </row>
    <row r="6">
      <c r="A6" s="4" t="inlineStr">
        <is>
          <t>Volume Corrente 6ml/kg</t>
        </is>
      </c>
      <c r="B6">
        <f>B5*6</f>
        <v/>
      </c>
      <c r="C6" t="inlineStr">
        <is>
          <t>ml</t>
        </is>
      </c>
    </row>
    <row r="7">
      <c r="A7" s="4" t="inlineStr"/>
      <c r="B7" t="inlineStr"/>
      <c r="C7" t="inlineStr"/>
    </row>
    <row r="8">
      <c r="A8" s="4" t="inlineStr">
        <is>
          <t>Ânion Gap</t>
        </is>
      </c>
      <c r="B8" t="inlineStr"/>
      <c r="C8" t="inlineStr"/>
    </row>
    <row r="9">
      <c r="A9" s="4" t="inlineStr">
        <is>
          <t>Sódio (Na)</t>
        </is>
      </c>
      <c r="B9" t="n">
        <v>140</v>
      </c>
      <c r="C9" t="inlineStr"/>
    </row>
    <row r="10">
      <c r="A10" s="4" t="inlineStr">
        <is>
          <t>Cloro (Cl)</t>
        </is>
      </c>
      <c r="B10" t="n">
        <v>105</v>
      </c>
      <c r="C10" t="inlineStr"/>
    </row>
    <row r="11">
      <c r="A11" s="4" t="inlineStr">
        <is>
          <t>Bicarbonato (HCO3)</t>
        </is>
      </c>
      <c r="B11" t="n">
        <v>20</v>
      </c>
      <c r="C11" t="inlineStr"/>
    </row>
    <row r="12">
      <c r="A12" s="4" t="inlineStr">
        <is>
          <t>Ânion Gap Calculado</t>
        </is>
      </c>
      <c r="B12">
        <f>B9 - (B10 + B11)</f>
        <v/>
      </c>
      <c r="C12" t="inlineStr">
        <is>
          <t>VR: 8-12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21" customWidth="1" min="3" max="3"/>
    <col width="12" customWidth="1" min="4" max="4"/>
    <col width="14" customWidth="1" min="5" max="5"/>
    <col width="16" customWidth="1" min="6" max="6"/>
    <col width="15" customWidth="1" min="7" max="7"/>
    <col width="13" customWidth="1" min="8" max="8"/>
    <col width="12" customWidth="1" min="9" max="9"/>
    <col width="19" customWidth="1" min="10" max="10"/>
  </cols>
  <sheetData>
    <row r="1">
      <c r="A1" s="2" t="inlineStr">
        <is>
          <t>Leito</t>
        </is>
      </c>
      <c r="B1" s="2" t="inlineStr">
        <is>
          <t>Diagnóstico</t>
        </is>
      </c>
      <c r="C1" s="2" t="inlineStr">
        <is>
          <t>Intercorrências 24h</t>
        </is>
      </c>
      <c r="D1" s="2" t="inlineStr">
        <is>
          <t>Ventilação</t>
        </is>
      </c>
      <c r="E1" s="2" t="inlineStr">
        <is>
          <t>Hemodinâmica</t>
        </is>
      </c>
      <c r="F1" s="2" t="inlineStr">
        <is>
          <t>Infeccioso/ATB</t>
        </is>
      </c>
      <c r="G1" s="2" t="inlineStr">
        <is>
          <t>Renal/Diurese</t>
        </is>
      </c>
      <c r="H1" s="2" t="inlineStr">
        <is>
          <t>Neurológico</t>
        </is>
      </c>
      <c r="I1" s="2" t="inlineStr">
        <is>
          <t>Pendências</t>
        </is>
      </c>
      <c r="J1" s="2" t="inlineStr">
        <is>
          <t>Conduta se Piorar</t>
        </is>
      </c>
    </row>
    <row r="2"/>
  </sheetData>
  <autoFilter ref="A1:J50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AVISO LEGAL E TERMO DE RESPONSABILIDADE</t>
        </is>
      </c>
    </row>
    <row r="2">
      <c r="A2" t="inlineStr"/>
    </row>
    <row r="3">
      <c r="A3" s="5" t="inlineStr">
        <is>
          <t>Esta planilha é uma ferramenta de apoio à organização e decisão clínica. NÃO substitui o julgamento médico, avaliação individual do paciente à beira-leito, protocolos institucionais, bulas oficiais de medicamentos ou consulta a especialistas (Farmácia Clínica, Nefrologia, Infectologia, etc). Doses e ajustes devem ser sempre individualizados.</t>
        </is>
      </c>
    </row>
    <row r="4">
      <c r="A4" t="inlineStr"/>
    </row>
    <row r="5">
      <c r="A5" t="inlineStr">
        <is>
          <t>REFERÊNCIAS PRINCIPAIS</t>
        </is>
      </c>
    </row>
    <row r="6">
      <c r="A6" t="inlineStr">
        <is>
          <t>1. Surviving Sepsis Campaign (SSC)</t>
        </is>
      </c>
    </row>
    <row r="7">
      <c r="A7" t="inlineStr">
        <is>
          <t>2. KDIGO - Kidney Disease: Improving Global Outcomes</t>
        </is>
      </c>
    </row>
    <row r="8">
      <c r="A8" t="inlineStr">
        <is>
          <t>3. ARDSNet - Otimização de Ventilação Mecânica</t>
        </is>
      </c>
    </row>
    <row r="9">
      <c r="A9" t="inlineStr">
        <is>
          <t>4. PADIS Guidelines (Pain, Agitation/Sedation, Delirium, Immobility, Sleep)</t>
        </is>
      </c>
    </row>
  </sheetData>
  <mergeCells count="1">
    <mergeCell ref="A3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2026-05-19T00:18:22Z</dcterms:created>
  <dcterms:modified xmlns:dcterms="http://purl.org/dc/terms/" xmlns:xsi="http://www.w3.org/2001/XMLSchema-instance" xsi:type="dcterms:W3CDTF">2026-05-19T00:18:22Z</dcterms:modified>
</cp:coreProperties>
</file>