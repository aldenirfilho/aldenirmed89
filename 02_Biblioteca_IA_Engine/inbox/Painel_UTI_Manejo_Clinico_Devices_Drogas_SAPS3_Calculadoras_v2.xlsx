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worksheets/sheet12.xml" ContentType="application/vnd.openxmlformats-officedocument.spreadsheetml.worksheet+xml"/>
  <Override PartName="/xl/tables/table19.xml" ContentType="application/vnd.openxmlformats-officedocument.spreadsheetml.table+xml"/>
  <Override PartName="/xl/worksheets/sheet13.xml" ContentType="application/vnd.openxmlformats-officedocument.spreadsheetml.worksheet+xml"/>
  <Override PartName="/xl/tables/table20.xml" ContentType="application/vnd.openxmlformats-officedocument.spreadsheetml.table+xml"/>
  <Override PartName="/xl/worksheets/sheet14.xml" ContentType="application/vnd.openxmlformats-officedocument.spreadsheetml.worksheet+xml"/>
  <Override PartName="/xl/tables/table21.xml" ContentType="application/vnd.openxmlformats-officedocument.spreadsheetml.table+xml"/>
  <Override PartName="/xl/worksheets/sheet15.xml" ContentType="application/vnd.openxmlformats-officedocument.spreadsheetml.worksheet+xml"/>
  <Override PartName="/xl/tables/table22.xml" ContentType="application/vnd.openxmlformats-officedocument.spreadsheetml.table+xml"/>
  <Override PartName="/xl/worksheets/sheet16.xml" ContentType="application/vnd.openxmlformats-officedocument.spreadsheetml.worksheet+xml"/>
  <Override PartName="/xl/tables/table23.xml" ContentType="application/vnd.openxmlformats-officedocument.spreadsheetml.table+xml"/>
  <Override PartName="/xl/worksheets/sheet17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544f49a06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" sheetId="1" r:id="R9eddd69fda464291"/>
    <x:sheet xmlns:r="http://schemas.openxmlformats.org/officeDocument/2006/relationships" name="Índice" sheetId="2" r:id="R3a52e64ab5a24fe7"/>
    <x:sheet xmlns:r="http://schemas.openxmlformats.org/officeDocument/2006/relationships" name="Dashboard UTI" sheetId="3" r:id="R394f6d46d18c40c6"/>
    <x:sheet xmlns:r="http://schemas.openxmlformats.org/officeDocument/2006/relationships" name="SAPS3 Prioridade" sheetId="4" r:id="Rad010f34391945e1"/>
    <x:sheet xmlns:r="http://schemas.openxmlformats.org/officeDocument/2006/relationships" name="Devices" sheetId="5" r:id="Reb8ba871e0904b85"/>
    <x:sheet xmlns:r="http://schemas.openxmlformats.org/officeDocument/2006/relationships" name="DVA Sedacao" sheetId="6" r:id="Rf3f594b70fea46d2"/>
    <x:sheet xmlns:r="http://schemas.openxmlformats.org/officeDocument/2006/relationships" name="ATB Ajuste Renal" sheetId="7" r:id="Ra629784b0b514440"/>
    <x:sheet xmlns:r="http://schemas.openxmlformats.org/officeDocument/2006/relationships" name="Meds Ajuste Renal" sheetId="8" r:id="R33f0c9fdb6c640d8"/>
    <x:sheet xmlns:r="http://schemas.openxmlformats.org/officeDocument/2006/relationships" name="Anticoag Reversao" sheetId="9" r:id="Re4f21fab60ff4de0"/>
    <x:sheet xmlns:r="http://schemas.openxmlformats.org/officeDocument/2006/relationships" name="VM Gasometria" sheetId="10" r:id="R93250aabe7aa47b8"/>
    <x:sheet xmlns:r="http://schemas.openxmlformats.org/officeDocument/2006/relationships" name="Sepse Choque" sheetId="11" r:id="R543329f318c04661"/>
    <x:sheet xmlns:r="http://schemas.openxmlformats.org/officeDocument/2006/relationships" name="Checklist Diario" sheetId="12" r:id="Rb7d04d45f39c47a9"/>
    <x:sheet xmlns:r="http://schemas.openxmlformats.org/officeDocument/2006/relationships" name="Calculadoras" sheetId="13" r:id="R00115d7be70e4e39"/>
    <x:sheet xmlns:r="http://schemas.openxmlformats.org/officeDocument/2006/relationships" name="Fluxogramas" sheetId="14" r:id="R511997c302684615"/>
    <x:sheet xmlns:r="http://schemas.openxmlformats.org/officeDocument/2006/relationships" name="Alertas" sheetId="15" r:id="R99ad6992a2f64aea"/>
    <x:sheet xmlns:r="http://schemas.openxmlformats.org/officeDocument/2006/relationships" name="Passagem Plantao" sheetId="16" r:id="Rf07ef4fa64164d70"/>
    <x:sheet xmlns:r="http://schemas.openxmlformats.org/officeDocument/2006/relationships" name="Referencias" sheetId="17" r:id="R0aa69fe502ea4e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dd/mm/yyyy"/>
    <x:numFmt numFmtId="202" formatCode="0.0%"/>
    <x:numFmt numFmtId="203" formatCode="0%"/>
    <x:numFmt numFmtId="204" formatCode="0.00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111827"/>
      <x:name val="Carlito"/>
    </x:font>
    <x:font>
      <x:b/>
      <x:sz val="11"/>
      <x:color rgb="FFFFFF"/>
      <x:name val="Carlito"/>
    </x:font>
    <x:font>
      <x:b/>
      <x:sz val="11"/>
      <x:color rgb="92400E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  <x:fill>
      <x:patternFill patternType="solid">
        <x:fgColor rgb="E0F2FE"/>
      </x:patternFill>
    </x:fill>
    <x:fill>
      <x:patternFill patternType="solid">
        <x:fgColor rgb="DCFCE7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vertical="top" wrapText="1"/>
    </x:xf>
    <x:xf numFmtId="201" fontId="0" fillId="7" borderId="1" xfId="0" applyNumberFormat="1" applyFont="1" applyFill="1" applyBorder="1" applyAlignment="1">
      <x:alignment vertical="top" wrapText="1"/>
    </x:xf>
    <x:xf numFmtId="202" fontId="0" fillId="7" borderId="0" xfId="0" applyNumberFormat="1" applyFont="1" applyFill="1" applyBorder="1" applyAlignment="1">
      <x:alignment vertical="top" wrapText="1"/>
    </x:xf>
    <x:xf numFmtId="202" fontId="0" fillId="7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7" borderId="0" xfId="0" applyNumberFormat="1" applyFont="1" applyFill="1" applyBorder="1" applyAlignment="1">
      <x:alignment vertical="top" wrapText="1"/>
    </x:xf>
    <x:xf numFmtId="203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204" fontId="5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204" fontId="5" fillId="9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</x:font>
      <x:fill>
        <x:patternFill patternType="solid">
          <x:bgColor rgb="DBEAFE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12a9ac5094941" /><Relationship Type="http://schemas.openxmlformats.org/officeDocument/2006/relationships/theme" Target="/xl/theme/theme1.xml" Id="Re31acd77676f4a51" /><Relationship Type="http://schemas.openxmlformats.org/officeDocument/2006/relationships/sharedStrings" Target="/xl/sharedStrings.xml" Id="R59a0410488c24770" /><Relationship Type="http://schemas.openxmlformats.org/officeDocument/2006/relationships/worksheet" Target="/xl/worksheets/sheet1.xml" Id="R9eddd69fda464291" /><Relationship Type="http://schemas.openxmlformats.org/officeDocument/2006/relationships/worksheet" Target="/xl/worksheets/sheet2.xml" Id="R3a52e64ab5a24fe7" /><Relationship Type="http://schemas.openxmlformats.org/officeDocument/2006/relationships/worksheet" Target="/xl/worksheets/sheet3.xml" Id="R394f6d46d18c40c6" /><Relationship Type="http://schemas.openxmlformats.org/officeDocument/2006/relationships/worksheet" Target="/xl/worksheets/sheet4.xml" Id="Rad010f34391945e1" /><Relationship Type="http://schemas.openxmlformats.org/officeDocument/2006/relationships/worksheet" Target="/xl/worksheets/sheet5.xml" Id="Reb8ba871e0904b85" /><Relationship Type="http://schemas.openxmlformats.org/officeDocument/2006/relationships/worksheet" Target="/xl/worksheets/sheet6.xml" Id="Rf3f594b70fea46d2" /><Relationship Type="http://schemas.openxmlformats.org/officeDocument/2006/relationships/worksheet" Target="/xl/worksheets/sheet7.xml" Id="Ra629784b0b514440" /><Relationship Type="http://schemas.openxmlformats.org/officeDocument/2006/relationships/worksheet" Target="/xl/worksheets/sheet8.xml" Id="R33f0c9fdb6c640d8" /><Relationship Type="http://schemas.openxmlformats.org/officeDocument/2006/relationships/worksheet" Target="/xl/worksheets/sheet9.xml" Id="Re4f21fab60ff4de0" /><Relationship Type="http://schemas.openxmlformats.org/officeDocument/2006/relationships/worksheet" Target="/xl/worksheets/sheet10.xml" Id="R93250aabe7aa47b8" /><Relationship Type="http://schemas.openxmlformats.org/officeDocument/2006/relationships/worksheet" Target="/xl/worksheets/sheet11.xml" Id="R543329f318c04661" /><Relationship Type="http://schemas.openxmlformats.org/officeDocument/2006/relationships/worksheet" Target="/xl/worksheets/sheet12.xml" Id="Rb7d04d45f39c47a9" /><Relationship Type="http://schemas.openxmlformats.org/officeDocument/2006/relationships/worksheet" Target="/xl/worksheets/sheet13.xml" Id="R00115d7be70e4e39" /><Relationship Type="http://schemas.openxmlformats.org/officeDocument/2006/relationships/worksheet" Target="/xl/worksheets/sheet14.xml" Id="R511997c302684615" /><Relationship Type="http://schemas.openxmlformats.org/officeDocument/2006/relationships/worksheet" Target="/xl/worksheets/sheet15.xml" Id="R99ad6992a2f64aea" /><Relationship Type="http://schemas.openxmlformats.org/officeDocument/2006/relationships/worksheet" Target="/xl/worksheets/sheet16.xml" Id="Rf07ef4fa64164d70" /><Relationship Type="http://schemas.openxmlformats.org/officeDocument/2006/relationships/worksheet" Target="/xl/worksheets/sheet17.xml" Id="R0aa69fe502ea4e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4ccce0e6da49d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KPIs UTI - Bloco 1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 UTI'!$A$5:$A$7</c:f>
              <c:strCache>
                <c:ptCount val="0"/>
              </c:strCache>
            </c:strRef>
          </c:cat>
          <c:val>
            <c:numRef>
              <c:f>'Dashboard UTI'!$B$5:$B$7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13</xdr:col>
      <xdr:colOff>0</xdr:colOff>
      <xdr:row>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ccce0e6da49d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shboardUTI" displayName="DashboardUTI" ref="A8:AD108" headerRowCount="1">
  <x:tableColumns count="30">
    <x:tableColumn id="1" name="Leito"/>
    <x:tableColumn id="2" name="Nome/Iniciais"/>
    <x:tableColumn id="3" name="Idade"/>
    <x:tableColumn id="4" name="Admissão Hosp"/>
    <x:tableColumn id="5" name="Admissão UTI"/>
    <x:tableColumn id="6" name="Dias UTI"/>
    <x:tableColumn id="7" name="Diagnóstico principal"/>
    <x:tableColumn id="8" name="Problemas ativos"/>
    <x:tableColumn id="9" name="SAPS3"/>
    <x:tableColumn id="10" name="Mort. estimada"/>
    <x:tableColumn id="11" name="Prioridade UTI"/>
    <x:tableColumn id="12" name="Ventilação"/>
    <x:tableColumn id="13" name="DVA"/>
    <x:tableColumn id="14" name="NORA mcg/kg/min"/>
    <x:tableColumn id="15" name="Sedação"/>
    <x:tableColumn id="16" name="RASS alvo"/>
    <x:tableColumn id="17" name="CAM-ICU"/>
    <x:tableColumn id="18" name="ATB atual"/>
    <x:tableColumn id="19" name="Início ATB"/>
    <x:tableColumn id="20" name="Dias ATB"/>
    <x:tableColumn id="21" name="Culturas pendentes"/>
    <x:tableColumn id="22" name="Função renal"/>
    <x:tableColumn id="23" name="Anticoagulação"/>
    <x:tableColumn id="24" name="Devices presentes"/>
    <x:tableColumn id="25" name="Device vencido?"/>
    <x:tableColumn id="26" name="Pendências do dia"/>
    <x:tableColumn id="27" name="Meta 24h"/>
    <x:tableColumn id="28" name="Critérios alta UTI"/>
    <x:tableColumn id="29" name="Risco global"/>
    <x:tableColumn id="30" name="Score risco"/>
  </x:tableColumns>
  <x:tableStyleInfo name="TableStyleMedium2" showRowStripes="1"/>
</x:table>
</file>

<file path=xl/tables/table2.xml><?xml version="1.0" encoding="utf-8"?>
<x:table xmlns:x="http://schemas.openxmlformats.org/spreadsheetml/2006/main" id="2" name="SAPS3Interpretacao" displayName="SAPS3Interpretacao" ref="A19:D23" headerRowCount="1">
  <x:tableColumns count="4">
    <x:tableColumn id="1" name="Faixa operacional"/>
    <x:tableColumn id="2" name="SAPS3 aproximado"/>
    <x:tableColumn id="3" name="Interpretação prática"/>
    <x:tableColumn id="4" name="Ação sugerida"/>
  </x:tableColumns>
  <x:tableStyleInfo name="TableStyleMedium2" showRowStripes="1"/>
</x:table>
</file>

<file path=xl/tables/table3.xml><?xml version="1.0" encoding="utf-8"?>
<x:table xmlns:x="http://schemas.openxmlformats.org/spreadsheetml/2006/main" id="3" name="PrioridadeUTI" displayName="PrioridadeUTI" ref="A26:E30" headerRowCount="1">
  <x:tableColumns count="5">
    <x:tableColumn id="1" name="Prioridade"/>
    <x:tableColumn id="2" name="Descrição operacional"/>
    <x:tableColumn id="3" name="Exemplos"/>
    <x:tableColumn id="4" name="Conduta sugerida"/>
    <x:tableColumn id="5" name="Reavaliação"/>
  </x:tableColumns>
  <x:tableStyleInfo name="TableStyleMedium2" showRowStripes="1"/>
</x:table>
</file>

<file path=xl/tables/table4.xml><?xml version="1.0" encoding="utf-8"?>
<x:table xmlns:x="http://schemas.openxmlformats.org/spreadsheetml/2006/main" id="4" name="DevicesPaciente" displayName="DevicesPaciente" ref="A4:M84" headerRowCount="1">
  <x:tableColumns count="13">
    <x:tableColumn id="1" name="Leito"/>
    <x:tableColumn id="2" name="Paciente"/>
    <x:tableColumn id="3" name="Dispositivo"/>
    <x:tableColumn id="4" name="Local"/>
    <x:tableColumn id="5" name="Data inserção"/>
    <x:tableColumn id="6" name="Dia atual"/>
    <x:tableColumn id="7" name="Prazo sugerido"/>
    <x:tableColumn id="8" name="Data prevista troca"/>
    <x:tableColumn id="9" name="Indicação presente?"/>
    <x:tableColumn id="10" name="Sinais infecção?"/>
    <x:tableColumn id="11" name="Retirar hoje?"/>
    <x:tableColumn id="12" name="Orientação"/>
    <x:tableColumn id="13" name="Observações"/>
  </x:tableColumns>
  <x:tableStyleInfo name="TableStyleMedium2" showRowStripes="1"/>
</x:table>
</file>

<file path=xl/tables/table5.xml><?xml version="1.0" encoding="utf-8"?>
<x:table xmlns:x="http://schemas.openxmlformats.org/spreadsheetml/2006/main" id="5" name="GuiaDevices" displayName="GuiaDevices" ref="O4:R13" headerRowCount="1">
  <x:tableColumns count="4">
    <x:tableColumn id="1" name="Dispositivo"/>
    <x:tableColumn id="2" name="Troca rotineira?"/>
    <x:tableColumn id="3" name="Conduta prática"/>
    <x:tableColumn id="4" name="Ponto de segurança"/>
  </x:tableColumns>
  <x:tableStyleInfo name="TableStyleMedium2" showRowStripes="1"/>
</x:table>
</file>

<file path=xl/tables/table6.xml><?xml version="1.0" encoding="utf-8"?>
<x:table xmlns:x="http://schemas.openxmlformats.org/spreadsheetml/2006/main" id="6" name="DVATable" displayName="DVATable" ref="A4:J17" headerRowCount="1">
  <x:tableColumns count="10">
    <x:tableColumn id="1" name="Droga"/>
    <x:tableColumn id="2" name="Classe"/>
    <x:tableColumn id="3" name="Indicação principal"/>
    <x:tableColumn id="4" name="Dose inicial"/>
    <x:tableColumn id="5" name="Faixa usual"/>
    <x:tableColumn id="6" name="Dose máxima usual"/>
    <x:tableColumn id="7" name="Diluição comum"/>
    <x:tableColumn id="8" name="Via"/>
    <x:tableColumn id="9" name="Cuidados"/>
    <x:tableColumn id="10" name="Evitar/atenção"/>
  </x:tableColumns>
  <x:tableStyleInfo name="TableStyleMedium2" showRowStripes="1"/>
</x:table>
</file>

<file path=xl/tables/table7.xml><?xml version="1.0" encoding="utf-8"?>
<x:table xmlns:x="http://schemas.openxmlformats.org/spreadsheetml/2006/main" id="7" name="SedacaoTable" displayName="SedacaoTable" ref="A22:E36" headerRowCount="1">
  <x:tableColumns count="5">
    <x:tableColumn id="1" name="Fármaco/Escala"/>
    <x:tableColumn id="2" name="Uso"/>
    <x:tableColumn id="3" name="Dose/Meta usual"/>
    <x:tableColumn id="4" name="Cuidados"/>
    <x:tableColumn id="5" name="Alerta"/>
  </x:tableColumns>
  <x:tableStyleInfo name="TableStyleMedium2" showRowStripes="1"/>
</x:table>
</file>

<file path=xl/tables/table8.xml><?xml version="1.0" encoding="utf-8"?>
<x:table xmlns:x="http://schemas.openxmlformats.org/spreadsheetml/2006/main" id="8" name="ATBAjusteRenal" displayName="ATBAjusteRenal" ref="A4:L35" headerRowCount="1">
  <x:tableColumns count="12">
    <x:tableColumn id="1" name="Antibiótico"/>
    <x:tableColumn id="2" name="Espectro principal"/>
    <x:tableColumn id="3" name="Dose usual função renal normal"/>
    <x:tableColumn id="4" name="ClCr &gt;50"/>
    <x:tableColumn id="5" name="ClCr 30–50"/>
    <x:tableColumn id="6" name="ClCr 10–30"/>
    <x:tableColumn id="7" name="ClCr &lt;10"/>
    <x:tableColumn id="8" name="HD intermitente"/>
    <x:tableColumn id="9" name="CRRT"/>
    <x:tableColumn id="10" name="Dose pós-HD?"/>
    <x:tableColumn id="11" name="TDM?"/>
    <x:tableColumn id="12" name="Observações clínicas"/>
  </x:tableColumns>
  <x:tableStyleInfo name="TableStyleMedium2" showRowStripes="1"/>
</x:table>
</file>

<file path=xl/tables/table9.xml><?xml version="1.0" encoding="utf-8"?>
<x:table xmlns:x="http://schemas.openxmlformats.org/spreadsheetml/2006/main" id="9" name="MedsRenal" displayName="MedsRenal" ref="A4:J24" headerRowCount="1">
  <x:tableColumns count="10">
    <x:tableColumn id="1" name="Medicamento"/>
    <x:tableColumn id="2" name="Indicação comum UTI"/>
    <x:tableColumn id="3" name="Dose usual"/>
    <x:tableColumn id="4" name="ClCr 30–50"/>
    <x:tableColumn id="5" name="ClCr 10–30"/>
    <x:tableColumn id="6" name="ClCr &lt;10"/>
    <x:tableColumn id="7" name="Hemodiálise"/>
    <x:tableColumn id="8" name="Contraindicação/atenção"/>
    <x:tableColumn id="9" name="Toxicidade se acumular"/>
    <x:tableColumn id="10" name="Observações"/>
  </x:tableColumns>
  <x:tableStyleInfo name="TableStyleMedium2" showRowStripes="1"/>
</x:table>
</file>

<file path=xl/tables/table10.xml><?xml version="1.0" encoding="utf-8"?>
<x:table xmlns:x="http://schemas.openxmlformats.org/spreadsheetml/2006/main" id="10" name="Anticoagulacao" displayName="Anticoagulacao" ref="A4:I13" headerRowCount="1">
  <x:tableColumns count="9">
    <x:tableColumn id="1" name="Cenário/Fármaco"/>
    <x:tableColumn id="2" name="Indicação"/>
    <x:tableColumn id="3" name="Dose usual"/>
    <x:tableColumn id="4" name="Ajuste renal"/>
    <x:tableColumn id="5" name="Monitorização"/>
    <x:tableColumn id="6" name="Quando suspender"/>
    <x:tableColumn id="7" name="Quando evitar"/>
    <x:tableColumn id="8" name="Reversão/antídoto"/>
    <x:tableColumn id="9" name="Observações"/>
  </x:tableColumns>
  <x:tableStyleInfo name="TableStyleMedium2" showRowStripes="1"/>
</x:table>
</file>

<file path=xl/tables/table11.xml><?xml version="1.0" encoding="utf-8"?>
<x:table xmlns:x="http://schemas.openxmlformats.org/spreadsheetml/2006/main" id="11" name="ContraAnticoag" displayName="ContraAnticoag" ref="A18:C24" headerRowCount="1">
  <x:tableColumns count="3">
    <x:tableColumn id="1" name="Contraindicação/alerta"/>
    <x:tableColumn id="2" name="Comentário prático"/>
    <x:tableColumn id="3" name="Ação sugerida"/>
  </x:tableColumns>
  <x:tableStyleInfo name="TableStyleMedium2" showRowStripes="1"/>
</x:table>
</file>

<file path=xl/tables/table12.xml><?xml version="1.0" encoding="utf-8"?>
<x:table xmlns:x="http://schemas.openxmlformats.org/spreadsheetml/2006/main" id="12" name="Reversao" displayName="Reversao" ref="E18:G26" headerRowCount="1">
  <x:tableColumns count="3">
    <x:tableColumn id="1" name="Agente"/>
    <x:tableColumn id="2" name="Reverte/uso"/>
    <x:tableColumn id="3" name="Observações"/>
  </x:tableColumns>
  <x:tableStyleInfo name="TableStyleMedium2" showRowStripes="1"/>
</x:table>
</file>

<file path=xl/tables/table13.xml><?xml version="1.0" encoding="utf-8"?>
<x:table xmlns:x="http://schemas.openxmlformats.org/spreadsheetml/2006/main" id="13" name="ModosVM" displayName="ModosVM" ref="A4:F11" headerRowCount="1">
  <x:tableColumns count="6">
    <x:tableColumn id="1" name="Modo"/>
    <x:tableColumn id="2" name="Quando usar"/>
    <x:tableColumn id="3" name="Parâmetros iniciais"/>
    <x:tableColumn id="4" name="Vantagens"/>
    <x:tableColumn id="5" name="Alarmes/erros comuns"/>
    <x:tableColumn id="6" name="Ajuste conforme gasometria"/>
  </x:tableColumns>
  <x:tableStyleInfo name="TableStyleMedium2" showRowStripes="1"/>
</x:table>
</file>

<file path=xl/tables/table14.xml><?xml version="1.0" encoding="utf-8"?>
<x:table xmlns:x="http://schemas.openxmlformats.org/spreadsheetml/2006/main" id="14" name="CalcVMBase" displayName="CalcVMBase" ref="A14:G22" headerRowCount="1">
  <x:tableColumns count="7">
    <x:tableColumn id="1" name="Calculadora"/>
    <x:tableColumn id="2" name="Entrada 1"/>
    <x:tableColumn id="3" name="Entrada 2"/>
    <x:tableColumn id="4" name="Entrada 3"/>
    <x:tableColumn id="5" name="Entrada 4"/>
    <x:tableColumn id="6" name="Resultado"/>
    <x:tableColumn id="7" name="Fórmula/uso"/>
  </x:tableColumns>
  <x:tableStyleInfo name="TableStyleMedium2" showRowStripes="1"/>
</x:table>
</file>

<file path=xl/tables/table15.xml><?xml version="1.0" encoding="utf-8"?>
<x:table xmlns:x="http://schemas.openxmlformats.org/spreadsheetml/2006/main" id="15" name="AlgoritmosVM" displayName="AlgoritmosVM" ref="A25:D30" headerRowCount="1">
  <x:tableColumns count="4">
    <x:tableColumn id="1" name="Problema"/>
    <x:tableColumn id="2" name="Checar primeiro"/>
    <x:tableColumn id="3" name="Ajustes possíveis"/>
    <x:tableColumn id="4" name="Armadilhas"/>
  </x:tableColumns>
  <x:tableStyleInfo name="TableStyleMedium2" showRowStripes="1"/>
</x:table>
</file>

<file path=xl/tables/table16.xml><?xml version="1.0" encoding="utf-8"?>
<x:table xmlns:x="http://schemas.openxmlformats.org/spreadsheetml/2006/main" id="16" name="BundleSepse" displayName="BundleSepse" ref="A4:E14" headerRowCount="1">
  <x:tableColumns count="5">
    <x:tableColumn id="1" name="Etapa"/>
    <x:tableColumn id="2" name="Ação"/>
    <x:tableColumn id="3" name="Meta/observação"/>
    <x:tableColumn id="4" name="Tempo"/>
    <x:tableColumn id="5" name="Alertas"/>
  </x:tableColumns>
  <x:tableStyleInfo name="TableStyleMedium2" showRowStripes="1"/>
</x:table>
</file>

<file path=xl/tables/table17.xml><?xml version="1.0" encoding="utf-8"?>
<x:table xmlns:x="http://schemas.openxmlformats.org/spreadsheetml/2006/main" id="17" name="FluxoSepse" displayName="FluxoSepse" ref="A17:A18" headerRowCount="1">
  <x:tableColumns count="1">
    <x:tableColumn id="1" name="Fluxo rápido"/>
  </x:tableColumns>
  <x:tableStyleInfo name="TableStyleMedium2" showRowStripes="1"/>
</x:table>
</file>

<file path=xl/tables/table18.xml><?xml version="1.0" encoding="utf-8"?>
<x:table xmlns:x="http://schemas.openxmlformats.org/spreadsheetml/2006/main" id="18" name="Choques" displayName="Choques" ref="A20:D24" headerRowCount="1">
  <x:tableColumns count="4">
    <x:tableColumn id="1" name="Tipo de choque"/>
    <x:tableColumn id="2" name="Pistas"/>
    <x:tableColumn id="3" name="Conduta inicial"/>
    <x:tableColumn id="4" name="POCUS útil"/>
  </x:tableColumns>
  <x:tableStyleInfo name="TableStyleMedium2" showRowStripes="1"/>
</x:table>
</file>

<file path=xl/tables/table19.xml><?xml version="1.0" encoding="utf-8"?>
<x:table xmlns:x="http://schemas.openxmlformats.org/spreadsheetml/2006/main" id="19" name="ChecklistDiario" displayName="ChecklistDiario" ref="A4:AB54" headerRowCount="1">
  <x:tableColumns count="28">
    <x:tableColumn id="1" name="Leito"/>
    <x:tableColumn id="2" name="Paciente"/>
    <x:tableColumn id="3" name="Data"/>
    <x:tableColumn id="4" name="Analgesia?"/>
    <x:tableColumn id="5" name="Sedação alvo?"/>
    <x:tableColumn id="6" name="RASS"/>
    <x:tableColumn id="7" name="CAM-ICU"/>
    <x:tableColumn id="8" name="Dor controlada?"/>
    <x:tableColumn id="9" name="Cabeceira &gt;30?"/>
    <x:tableColumn id="10" name="Profilaxia TEV?"/>
    <x:tableColumn id="11" name="Profilaxia úlcera?"/>
    <x:tableColumn id="12" name="Nutrição?"/>
    <x:tableColumn id="13" name="Glicemia ok?"/>
    <x:tableColumn id="14" name="Evacuação?"/>
    <x:tableColumn id="15" name="Pele ok?"/>
    <x:tableColumn id="16" name="Cateteres indicados?"/>
    <x:tableColumn id="17" name="ATB revisado?"/>
    <x:tableColumn id="18" name="Culturas revisadas?"/>
    <x:tableColumn id="19" name="Descalonar?"/>
    <x:tableColumn id="20" name="Despertar diário?"/>
    <x:tableColumn id="21" name="TRE?"/>
    <x:tableColumn id="22" name="Fisioterapia?"/>
    <x:tableColumn id="23" name="Mobilização?"/>
    <x:tableColumn id="24" name="Família atualizada?"/>
    <x:tableColumn id="25" name="Metas do dia?"/>
    <x:tableColumn id="26" name="Critérios alta?"/>
    <x:tableColumn id="27" name="Completude"/>
    <x:tableColumn id="28" name="Observações"/>
  </x:tableColumns>
  <x:tableStyleInfo name="TableStyleMedium2" showRowStripes="1"/>
</x:table>
</file>

<file path=xl/tables/table20.xml><?xml version="1.0" encoding="utf-8"?>
<x:table xmlns:x="http://schemas.openxmlformats.org/spreadsheetml/2006/main" id="20" name="CalculadorasClinicas" displayName="CalculadorasClinicas" ref="A4:I17" headerRowCount="1">
  <x:tableColumns count="9">
    <x:tableColumn id="1" name="Calculadora"/>
    <x:tableColumn id="2" name="Entrada A"/>
    <x:tableColumn id="3" name="Entrada B"/>
    <x:tableColumn id="4" name="Entrada C"/>
    <x:tableColumn id="5" name="Entrada D"/>
    <x:tableColumn id="6" name="Entrada E"/>
    <x:tableColumn id="7" name="Resultado"/>
    <x:tableColumn id="8" name="Unidade"/>
    <x:tableColumn id="9" name="Observação"/>
  </x:tableColumns>
  <x:tableStyleInfo name="TableStyleMedium2" showRowStripes="1"/>
</x:table>
</file>

<file path=xl/tables/table21.xml><?xml version="1.0" encoding="utf-8"?>
<x:table xmlns:x="http://schemas.openxmlformats.org/spreadsheetml/2006/main" id="21" name="FluxosRapidos" displayName="FluxosRapidos" ref="A4:D22" headerRowCount="1">
  <x:tableColumns count="4">
    <x:tableColumn id="1" name="Tema"/>
    <x:tableColumn id="2" name="Gatilho"/>
    <x:tableColumn id="3" name="Sequência prática"/>
    <x:tableColumn id="4" name="Não esquecer"/>
  </x:tableColumns>
  <x:tableStyleInfo name="TableStyleMedium2" showRowStripes="1"/>
</x:table>
</file>

<file path=xl/tables/table22.xml><?xml version="1.0" encoding="utf-8"?>
<x:table xmlns:x="http://schemas.openxmlformats.org/spreadsheetml/2006/main" id="22" name="AlertasCriticos" displayName="AlertasCriticos" ref="A4:E16" headerRowCount="1">
  <x:tableColumns count="5">
    <x:tableColumn id="1" name="Categoria"/>
    <x:tableColumn id="2" name="Exemplos"/>
    <x:tableColumn id="3" name="Risco"/>
    <x:tableColumn id="4" name="Conduta prática"/>
    <x:tableColumn id="5" name="Observações"/>
  </x:tableColumns>
  <x:tableStyleInfo name="TableStyleMedium2" showRowStripes="1"/>
</x:table>
</file>

<file path=xl/tables/table23.xml><?xml version="1.0" encoding="utf-8"?>
<x:table xmlns:x="http://schemas.openxmlformats.org/spreadsheetml/2006/main" id="23" name="PassagemPlantao" displayName="PassagemPlantao" ref="A4:O64" headerRowCount="1">
  <x:tableColumns count="15">
    <x:tableColumn id="1" name="Leito"/>
    <x:tableColumn id="2" name="Diagnóstico principal"/>
    <x:tableColumn id="3" name="Eventos 24h"/>
    <x:tableColumn id="4" name="Suporte ventilatório"/>
    <x:tableColumn id="5" name="Hemodinâmica"/>
    <x:tableColumn id="6" name="Infecção/ATB"/>
    <x:tableColumn id="7" name="Rim/diurese/diálise"/>
    <x:tableColumn id="8" name="Neuro"/>
    <x:tableColumn id="9" name="Nutrição"/>
    <x:tableColumn id="10" name="Anticoagulação"/>
    <x:tableColumn id="11" name="Devices"/>
    <x:tableColumn id="12" name="Pendências"/>
    <x:tableColumn id="13" name="Riscos da noite"/>
    <x:tableColumn id="14" name="Conduta se piorar"/>
    <x:tableColumn id="15" name="Meta 12–24h"/>
  </x:tableColumns>
  <x:tableStyleInfo name="TableStyleMedium2" showRowStripes="1"/>
</x:table>
</file>

<file path=xl/tables/table24.xml><?xml version="1.0" encoding="utf-8"?>
<x:table xmlns:x="http://schemas.openxmlformats.org/spreadsheetml/2006/main" id="24" name="Referencias" displayName="Referencias" ref="A4:E12" headerRowCount="1">
  <x:tableColumns count="5">
    <x:tableColumn id="1" name="Tema"/>
    <x:tableColumn id="2" name="Fonte"/>
    <x:tableColumn id="3" name="URL"/>
    <x:tableColumn id="4" name="Uso na planilha"/>
    <x:tableColumn id="5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861004dbd4448b7" /><Relationship Type="http://schemas.openxmlformats.org/officeDocument/2006/relationships/table" Target="/xl/tables/table1.xml" Id="Rc53b7479418348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b65950ea72949ae" /><Relationship Type="http://schemas.openxmlformats.org/officeDocument/2006/relationships/table" Target="/xl/tables/table3.xml" Id="R7fa891c088d447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fc71f3abb94f7e" /><Relationship Type="http://schemas.openxmlformats.org/officeDocument/2006/relationships/table" Target="/xl/tables/table5.xml" Id="R61433317ee0449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268c22a1ee24e4b" /><Relationship Type="http://schemas.openxmlformats.org/officeDocument/2006/relationships/table" Target="/xl/tables/table7.xml" Id="R6d343142d6194b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305bf12f572b45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a1af275543049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d014ae39383e47e0" /><Relationship Type="http://schemas.openxmlformats.org/officeDocument/2006/relationships/table" Target="/xl/tables/table11.xml" Id="R2003e48b889649e4" /><Relationship Type="http://schemas.openxmlformats.org/officeDocument/2006/relationships/table" Target="/xl/tables/table12.xml" Id="R044cd4b774b4454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b85aa6db29134ffc" /><Relationship Type="http://schemas.openxmlformats.org/officeDocument/2006/relationships/table" Target="/xl/tables/table14.xml" Id="R2f14a47d19e641e0" /><Relationship Type="http://schemas.openxmlformats.org/officeDocument/2006/relationships/table" Target="/xl/tables/table15.xml" Id="R6e031bf876a440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6.xml" Id="R92278e6b7b3042eb" /><Relationship Type="http://schemas.openxmlformats.org/officeDocument/2006/relationships/table" Target="/xl/tables/table17.xml" Id="R5a92564d74874372" /><Relationship Type="http://schemas.openxmlformats.org/officeDocument/2006/relationships/table" Target="/xl/tables/table18.xml" Id="R979e52fef08642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9.xml" Id="R1467bd9565eb46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20.xml" Id="R5ed2b0290e3e497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21.xml" Id="Rfd3c35ef8efa416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2.xml" Id="R5b7be96066ad4d6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3.xml" Id="Re4c36bbeeb9748f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4.xml" Id="R692d118242f7415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76" t="str">
        <x:v>LISTAS PARA VALIDAÇÃO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Aba técnica: alimenta menus suspensos e padroniza termos da planilha.</x:v>
      </x:c>
    </x:row>
    <x:row r="4">
      <x:c r="A4" s="24" t="str">
        <x:v>Prioridade</x:v>
      </x:c>
      <x:c r="B4" s="24" t="str">
        <x:v>SimNao</x:v>
      </x:c>
      <x:c r="C4" s="24" t="str">
        <x:v>Ventilacao</x:v>
      </x:c>
      <x:c r="D4" s="24" t="str">
        <x:v>RASS</x:v>
      </x:c>
      <x:c r="E4" s="24" t="str">
        <x:v>CAMICU</x:v>
      </x:c>
      <x:c r="F4" s="24" t="str">
        <x:v>FuncaoRenal</x:v>
      </x:c>
      <x:c r="G4" s="24" t="str">
        <x:v>Risco</x:v>
      </x:c>
      <x:c r="H4" s="24" t="str">
        <x:v>Sexo</x:v>
      </x:c>
      <x:c r="I4" s="24" t="str">
        <x:v>Devices</x:v>
      </x:c>
      <x:c r="J4" s="24" t="str">
        <x:v>Anticoagulacao</x:v>
      </x:c>
    </x:row>
    <x:row r="5">
      <x:c r="A5" t="str">
        <x:v>P1</x:v>
      </x:c>
      <x:c r="B5" t="str">
        <x:v>Sim</x:v>
      </x:c>
      <x:c r="C5" t="str">
        <x:v>AA</x:v>
      </x:c>
      <x:c r="D5" t="str">
        <x:v>-5</x:v>
      </x:c>
      <x:c r="E5" t="str">
        <x:v>Negativo</x:v>
      </x:c>
      <x:c r="F5" t="str">
        <x:v>Normal</x:v>
      </x:c>
      <x:c r="G5" t="str">
        <x:v>Baixo</x:v>
      </x:c>
      <x:c r="H5" t="str">
        <x:v>Masculino</x:v>
      </x:c>
      <x:c r="I5" t="str">
        <x:v>CVC</x:v>
      </x:c>
      <x:c r="J5" t="str">
        <x:v>Nenhuma</x:v>
      </x:c>
    </x:row>
    <x:row r="6">
      <x:c r="A6" t="str">
        <x:v>P2</x:v>
      </x:c>
      <x:c r="B6" t="str">
        <x:v>Não</x:v>
      </x:c>
      <x:c r="C6" t="str">
        <x:v>O2</x:v>
      </x:c>
      <x:c r="D6" t="str">
        <x:v>-4</x:v>
      </x:c>
      <x:c r="E6" t="str">
        <x:v>Positivo</x:v>
      </x:c>
      <x:c r="F6" t="str">
        <x:v>DRC</x:v>
      </x:c>
      <x:c r="G6" t="str">
        <x:v>Moderado</x:v>
      </x:c>
      <x:c r="H6" t="str">
        <x:v>Feminino</x:v>
      </x:c>
      <x:c r="I6" t="str">
        <x:v>PAM / linha arterial</x:v>
      </x:c>
      <x:c r="J6" t="str">
        <x:v>Profilaxia TEV</x:v>
      </x:c>
    </x:row>
    <x:row r="7">
      <x:c r="A7" t="str">
        <x:v>P3</x:v>
      </x:c>
      <x:c r="C7" t="str">
        <x:v>VNI</x:v>
      </x:c>
      <x:c r="D7" t="str">
        <x:v>-3</x:v>
      </x:c>
      <x:c r="E7" t="str">
        <x:v>Não avaliado</x:v>
      </x:c>
      <x:c r="F7" t="str">
        <x:v>LRA KDIGO 1</x:v>
      </x:c>
      <x:c r="G7" t="str">
        <x:v>Alto</x:v>
      </x:c>
      <x:c r="I7" t="str">
        <x:v>SVD</x:v>
      </x:c>
      <x:c r="J7" t="str">
        <x:v>HNF plena</x:v>
      </x:c>
    </x:row>
    <x:row r="8">
      <x:c r="A8" t="str">
        <x:v>P4</x:v>
      </x:c>
      <x:c r="C8" t="str">
        <x:v>CNAF</x:v>
      </x:c>
      <x:c r="D8" t="str">
        <x:v>-2</x:v>
      </x:c>
      <x:c r="F8" t="str">
        <x:v>LRA KDIGO 2</x:v>
      </x:c>
      <x:c r="G8" t="str">
        <x:v>Crítico</x:v>
      </x:c>
      <x:c r="I8" t="str">
        <x:v>SNE</x:v>
      </x:c>
      <x:c r="J8" t="str">
        <x:v>Enoxaparina plena</x:v>
      </x:c>
    </x:row>
    <x:row r="9">
      <x:c r="C9" t="str">
        <x:v>IOT</x:v>
      </x:c>
      <x:c r="D9" t="str">
        <x:v>-1</x:v>
      </x:c>
      <x:c r="F9" t="str">
        <x:v>LRA KDIGO 3</x:v>
      </x:c>
      <x:c r="I9" t="str">
        <x:v>SNG</x:v>
      </x:c>
      <x:c r="J9" t="str">
        <x:v>Varfarina</x:v>
      </x:c>
    </x:row>
    <x:row r="10">
      <x:c r="C10" t="str">
        <x:v>TQT</x:v>
      </x:c>
      <x:c r="D10" t="str">
        <x:v>0</x:v>
      </x:c>
      <x:c r="F10" t="str">
        <x:v>HD</x:v>
      </x:c>
      <x:c r="I10" t="str">
        <x:v>TOT</x:v>
      </x:c>
      <x:c r="J10" t="str">
        <x:v>DOAC</x:v>
      </x:c>
    </x:row>
    <x:row r="11">
      <x:c r="D11" t="str">
        <x:v>+1</x:v>
      </x:c>
      <x:c r="F11" t="str">
        <x:v>CRRT</x:v>
      </x:c>
      <x:c r="I11" t="str">
        <x:v>TQT</x:v>
      </x:c>
      <x:c r="J11" t="str">
        <x:v>Contraindicada</x:v>
      </x:c>
    </x:row>
    <x:row r="12">
      <x:c r="D12" t="str">
        <x:v>+2</x:v>
      </x:c>
      <x:c r="I12" t="str">
        <x:v>Dreno torácico</x:v>
      </x:c>
    </x:row>
    <x:row r="13">
      <x:c r="D13" t="str">
        <x:v>+3</x:v>
      </x:c>
      <x:c r="I13" t="str">
        <x:v>Dreno abdominal</x:v>
      </x:c>
    </x:row>
    <x:row r="14">
      <x:c r="D14" t="str">
        <x:v>+4</x:v>
      </x:c>
      <x:c r="I14" t="str">
        <x:v>Cateter HD</x:v>
      </x:c>
    </x:row>
    <x:row r="15">
      <x:c r="I15" t="str">
        <x:v>PICC</x:v>
      </x:c>
    </x:row>
    <x:row r="16">
      <x:c r="I16" t="str">
        <x:v>AVP</x:v>
      </x:c>
    </x:row>
    <x:row r="17">
      <x:c r="I17" t="str">
        <x:v>Curativo cirúrgico</x:v>
      </x:c>
    </x:row>
    <x:row r="18">
      <x:c r="I18" t="str">
        <x:v>DVE</x:v>
      </x:c>
    </x:row>
    <x:row r="19">
      <x:c r="I19" t="str">
        <x:v>Dreno lombar</x:v>
      </x:c>
    </x:row>
    <x:row r="20">
      <x:c r="I20" t="str">
        <x:v>Cateter epidural</x:v>
      </x:c>
    </x:row>
    <x:row r="21">
      <x:c r="I21" t="str">
        <x:v>BIA</x:v>
      </x:c>
    </x:row>
    <x:row r="22">
      <x:c r="I22" t="str">
        <x:v>ECMO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14" hidden="0" customWidth="1"/>
  </x:cols>
  <x:sheetData>
    <x:row r="1" ht="30" customHeight="1">
      <x:c r="A1" s="76" t="str">
        <x:v>PAINEL UTI - MANEJO CLÍNICO, DEVICES, DROGAS, SAPS3 E CALCULADORAS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Índice navegável do arquivo. Use os links internos para acessar cada módulo rapidamente.</x:v>
      </x:c>
    </x:row>
    <x:row r="4">
      <x:c r="A4" s="24" t="str">
        <x:v>Módulo</x:v>
      </x:c>
      <x:c r="B4" s="24" t="str">
        <x:v>Descrição</x:v>
      </x:c>
      <x:c r="C4" s="24" t="str">
        <x:v>Status</x:v>
      </x:c>
    </x:row>
    <x:row r="5">
      <x:c r="A5" s="30" t="e">
        <x:f>HYPERLINK("#'Dashboard UTI'!A1","Dashboard UTI")</x:f>
      </x:c>
      <x:c r="B5" s="30" t="str">
        <x:v>Visão geral dos pacientes, risco, ventilação, DVA, ATB, função renal e metas.</x:v>
      </x:c>
      <x:c r="C5" s="30" t="str">
        <x:v>Criado</x:v>
      </x:c>
    </x:row>
    <x:row r="6">
      <x:c r="A6" s="30" t="e">
        <x:f>HYPERLINK("#'SAPS3 Prioridade'!A1","SAPS3 Prioridade")</x:f>
      </x:c>
      <x:c r="B6" s="30" t="str">
        <x:v>Registro SAPS3, estimativa de mortalidade e prioridade P1–P4.</x:v>
      </x:c>
      <x:c r="C6" s="30" t="str">
        <x:v>Criado</x:v>
      </x:c>
    </x:row>
    <x:row r="7">
      <x:c r="A7" s="30" t="e">
        <x:f>HYPERLINK("#'Devices'!A1","Devices")</x:f>
      </x:c>
      <x:c r="B7" s="30" t="str">
        <x:v>Controle de dispositivos, dias de uso, indicação e alertas de retirada/troca.</x:v>
      </x:c>
      <x:c r="C7" s="30" t="str">
        <x:v>Criado</x:v>
      </x:c>
    </x:row>
    <x:row r="8">
      <x:c r="A8" s="30" t="e">
        <x:f>HYPERLINK("#'DVA Sedacao'!A1","DVA Sedacao")</x:f>
      </x:c>
      <x:c r="B8" s="30" t="str">
        <x:v>Drogas vasoativas, sedação, analgesia, bloqueio e delirium.</x:v>
      </x:c>
      <x:c r="C8" s="30" t="str">
        <x:v>Criado</x:v>
      </x:c>
    </x:row>
    <x:row r="9">
      <x:c r="A9" s="30" t="e">
        <x:f>HYPERLINK("#'ATB Ajuste Renal'!A1","ATB Ajuste Renal")</x:f>
      </x:c>
      <x:c r="B9" s="30" t="str">
        <x:v>Tabela de antibióticos e orientações de ajuste renal.</x:v>
      </x:c>
      <x:c r="C9" s="30" t="str">
        <x:v>Criado</x:v>
      </x:c>
    </x:row>
    <x:row r="10">
      <x:c r="A10" s="30" t="e">
        <x:f>HYPERLINK("#'Meds Ajuste Renal'!A1","Meds Ajuste Renal")</x:f>
      </x:c>
      <x:c r="B10" s="30" t="str">
        <x:v>Fármacos não antibióticos que acumulam na disfunção renal.</x:v>
      </x:c>
      <x:c r="C10" s="30" t="str">
        <x:v>Criado</x:v>
      </x:c>
    </x:row>
    <x:row r="11">
      <x:c r="A11" s="30" t="e">
        <x:f>HYPERLINK("#'Anticoag Reversao'!A1","Anticoag Reversao")</x:f>
      </x:c>
      <x:c r="B11" s="30" t="str">
        <x:v>Profilaxia, anticoagulação plena, contraindicações e reversão.</x:v>
      </x:c>
      <x:c r="C11" s="30" t="str">
        <x:v>Criado</x:v>
      </x:c>
    </x:row>
    <x:row r="12">
      <x:c r="A12" s="30" t="e">
        <x:f>HYPERLINK("#'VM Gasometria'!A1","VM Gasometria")</x:f>
      </x:c>
      <x:c r="B12" s="30" t="str">
        <x:v>Ventilação mecânica, gasometria e cálculos respiratórios.</x:v>
      </x:c>
      <x:c r="C12" s="30" t="str">
        <x:v>Criado</x:v>
      </x:c>
    </x:row>
    <x:row r="13">
      <x:c r="A13" s="30" t="e">
        <x:f>HYPERLINK("#'Sepse Choque'!A1","Sepse Choque")</x:f>
      </x:c>
      <x:c r="B13" s="30" t="str">
        <x:v>Bundle sepse/choque, metas e fluxograma.</x:v>
      </x:c>
      <x:c r="C13" s="30" t="str">
        <x:v>Criado</x:v>
      </x:c>
    </x:row>
    <x:row r="14">
      <x:c r="A14" s="30" t="e">
        <x:f>HYPERLINK("#'Checklist Diario'!A1","Checklist Diario")</x:f>
      </x:c>
      <x:c r="B14" s="30" t="str">
        <x:v>Checklist FAST HUG/ABCDEF adaptado com completude automática.</x:v>
      </x:c>
      <x:c r="C14" s="30" t="str">
        <x:v>Criado</x:v>
      </x:c>
    </x:row>
    <x:row r="15">
      <x:c r="A15" s="30" t="e">
        <x:f>HYPERLINK("#'Calculadoras'!A1","Calculadoras")</x:f>
      </x:c>
      <x:c r="B15" s="30" t="str">
        <x:v>IMC, Cockcroft-Gault, PaO2/FiO2, ânion gap, Na corrigido, NORA etc.</x:v>
      </x:c>
      <x:c r="C15" s="30" t="str">
        <x:v>Criado</x:v>
      </x:c>
    </x:row>
    <x:row r="16">
      <x:c r="A16" s="30" t="e">
        <x:f>HYPERLINK("#'Fluxogramas'!A1","Fluxogramas")</x:f>
      </x:c>
      <x:c r="B16" s="30" t="str">
        <x:v>Algoritmos rápidos para emergências comuns em UTI.</x:v>
      </x:c>
      <x:c r="C16" s="30" t="str">
        <x:v>Criado</x:v>
      </x:c>
    </x:row>
    <x:row r="17">
      <x:c r="A17" s="30" t="e">
        <x:f>HYPERLINK("#'Alertas'!A1","Alertas")</x:f>
      </x:c>
      <x:c r="B17" s="30" t="str">
        <x:v>Contraindicações, interações, nefrotoxicidade, QT, sangramento e idosos.</x:v>
      </x:c>
      <x:c r="C17" s="30" t="str">
        <x:v>Criado</x:v>
      </x:c>
    </x:row>
    <x:row r="18">
      <x:c r="A18" s="30" t="e">
        <x:f>HYPERLINK("#'Passagem Plantao'!A1","Passagem Plantao")</x:f>
      </x:c>
      <x:c r="B18" s="30" t="str">
        <x:v>Modelo de passagem de plantão e contingências.</x:v>
      </x:c>
      <x:c r="C18" s="30" t="str">
        <x:v>Criado</x:v>
      </x:c>
    </x:row>
    <x:row r="19">
      <x:c r="A19" s="30" t="e">
        <x:f>HYPERLINK("#'Referencias'!A1","Referencias")</x:f>
      </x:c>
      <x:c r="B19" s="30" t="str">
        <x:v>Links e avisos de segurança clínica.</x:v>
      </x:c>
      <x:c r="C19" s="30" t="str">
        <x:v>Criado</x:v>
      </x:c>
    </x:row>
    <x:row r="22">
      <x:c r="A22" s="35" t="str">
        <x:v>USO SEGURO ⚠️: planilha de apoio à decisão e organização do plantão. Doses e condutas devem ser individualizadas por peso, função renal/hepática, foco infeccioso, diálise, MIC, disponibilidade local, bula/protocolo institucional e julgamento médico.</x:v>
      </x:c>
    </x:row>
  </x:sheetData>
  <x:mergeCells>
    <x:mergeCell ref="A1:H1"/>
    <x:mergeCell ref="A2:H2"/>
    <x:mergeCell ref="A22:H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8" hidden="0" customWidth="1"/>
    <x:col min="4" max="4" width="14" hidden="0" customWidth="1"/>
    <x:col min="5" max="5" width="14" hidden="0" customWidth="1"/>
    <x:col min="6" max="6" width="10" hidden="0" customWidth="1"/>
    <x:col min="7" max="7" width="26" hidden="0" customWidth="1"/>
    <x:col min="8" max="8" width="32" hidden="0" customWidth="1"/>
    <x:col min="9" max="9" width="10" hidden="0" customWidth="1"/>
    <x:col min="10" max="10" width="14" hidden="0" customWidth="1"/>
    <x:col min="11" max="11" width="14" hidden="0" customWidth="1"/>
    <x:col min="12" max="12" width="13" hidden="0" customWidth="1"/>
    <x:col min="13" max="13" width="10" hidden="0" customWidth="1"/>
    <x:col min="14" max="14" width="16" hidden="0" customWidth="1"/>
    <x:col min="15" max="15" width="10" hidden="0" customWidth="1"/>
    <x:col min="16" max="16" width="10" hidden="0" customWidth="1"/>
    <x:col min="17" max="17" width="14" hidden="0" customWidth="1"/>
    <x:col min="18" max="18" width="22" hidden="0" customWidth="1"/>
    <x:col min="19" max="19" width="14" hidden="0" customWidth="1"/>
    <x:col min="20" max="20" width="10" hidden="0" customWidth="1"/>
    <x:col min="21" max="21" width="22" hidden="0" customWidth="1"/>
    <x:col min="22" max="22" width="16" hidden="0" customWidth="1"/>
    <x:col min="23" max="23" width="18" hidden="0" customWidth="1"/>
    <x:col min="24" max="24" width="26" hidden="0" customWidth="1"/>
    <x:col min="25" max="25" width="14" hidden="0" customWidth="1"/>
    <x:col min="26" max="26" width="28" hidden="0" customWidth="1"/>
    <x:col min="27" max="27" width="28" hidden="0" customWidth="1"/>
    <x:col min="28" max="28" width="28" hidden="0" customWidth="1"/>
    <x:col min="29" max="29" width="14" hidden="0" customWidth="1"/>
    <x:col min="30" max="30" width="12" hidden="0" customWidth="1"/>
  </x:cols>
  <x:sheetData>
    <x:row r="1" ht="30" customHeight="1">
      <x:c r="A1" s="76" t="str">
        <x:v>DASHBOARD UTI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Visão geral de pacientes, risco clínico, suportes, ATB, devices e metas das próximas 24h.</x:v>
      </x:c>
    </x:row>
    <x:row r="4">
      <x:c r="A4" s="43" t="str">
        <x:v>KPI</x:v>
      </x:c>
      <x:c r="B4" s="43" t="str">
        <x:v>Fórmula/valor</x:v>
      </x:c>
      <x:c r="C4" s="43" t="str">
        <x:v>Interpretação</x:v>
      </x:c>
      <x:c r="D4" s="43" t="str">
        <x:v>KPI</x:v>
      </x:c>
      <x:c r="E4" s="43" t="str">
        <x:v>Fórmula/valor</x:v>
      </x:c>
      <x:c r="F4" s="43" t="str">
        <x:v>Interpretação</x:v>
      </x:c>
    </x:row>
    <x:row r="5">
      <x:c r="A5" s="49" t="str">
        <x:v>Pacientes cadastrados</x:v>
      </x:c>
      <x:c r="B5" s="52" t="n">
        <x:f>COUNTIF(A9:A108,"?*")</x:f>
        <x:v>0</x:v>
      </x:c>
      <x:c r="C5" s="49" t="str">
        <x:v>Leitos preenchidos</x:v>
      </x:c>
      <x:c r="D5" s="49" t="str">
        <x:v>Em DVA</x:v>
      </x:c>
      <x:c r="E5" s="52" t="n">
        <x:f>COUNTIF(M8:M107,"Sim")</x:f>
        <x:v>0</x:v>
      </x:c>
      <x:c r="F5" s="49" t="str">
        <x:v>Atenção hemodinâmica</x:v>
      </x:c>
    </x:row>
    <x:row r="6">
      <x:c r="A6" s="49" t="str">
        <x:v>VM invasiva</x:v>
      </x:c>
      <x:c r="B6" s="52" t="n">
        <x:f>COUNTIF(L8:L107,"IOT")+COUNTIF(L8:L107,"TQT")</x:f>
        <x:v>0</x:v>
      </x:c>
      <x:c r="C6" s="49" t="str">
        <x:v>IOT/TQT</x:v>
      </x:c>
      <x:c r="D6" s="49" t="str">
        <x:v>P1</x:v>
      </x:c>
      <x:c r="E6" s="52" t="n">
        <x:f>COUNTIF(K8:K107,"P1")</x:f>
        <x:v>0</x:v>
      </x:c>
      <x:c r="F6" s="49" t="str">
        <x:v>Alta prioridade</x:v>
      </x:c>
    </x:row>
    <x:row r="7">
      <x:c r="A7" s="49" t="str">
        <x:v>ATB &gt; 7 dias</x:v>
      </x:c>
      <x:c r="B7" s="52" t="n">
        <x:f>COUNTIF(T8:T107,"&gt;7")</x:f>
        <x:v>0</x:v>
      </x:c>
      <x:c r="C7" s="49" t="str">
        <x:v>Revisar descalonamento</x:v>
      </x:c>
      <x:c r="D7" s="49" t="str">
        <x:v>Risco alto/crítico</x:v>
      </x:c>
      <x:c r="E7" s="52" t="n">
        <x:f>COUNTIF(AC8:AC107,"Alto")+COUNTIF(AC8:AC107,"Crítico")</x:f>
        <x:v>0</x:v>
      </x:c>
      <x:c r="F7" s="49" t="str">
        <x:v>Priorizar rounds</x:v>
      </x:c>
    </x:row>
    <x:row r="8">
      <x:c r="A8" s="24" t="str">
        <x:v>Leito</x:v>
      </x:c>
      <x:c r="B8" s="24" t="str">
        <x:v>Nome/Iniciais</x:v>
      </x:c>
      <x:c r="C8" s="24" t="str">
        <x:v>Idade</x:v>
      </x:c>
      <x:c r="D8" s="24" t="str">
        <x:v>Admissão Hosp</x:v>
      </x:c>
      <x:c r="E8" s="24" t="str">
        <x:v>Admissão UTI</x:v>
      </x:c>
      <x:c r="F8" s="24" t="str">
        <x:v>Dias UTI</x:v>
      </x:c>
      <x:c r="G8" s="24" t="str">
        <x:v>Diagnóstico principal</x:v>
      </x:c>
      <x:c r="H8" s="24" t="str">
        <x:v>Problemas ativos</x:v>
      </x:c>
      <x:c r="I8" s="24" t="str">
        <x:v>SAPS3</x:v>
      </x:c>
      <x:c r="J8" s="24" t="str">
        <x:v>Mort. estimada</x:v>
      </x:c>
      <x:c r="K8" s="24" t="str">
        <x:v>Prioridade UTI</x:v>
      </x:c>
      <x:c r="L8" s="24" t="str">
        <x:v>Ventilação</x:v>
      </x:c>
      <x:c r="M8" s="24" t="str">
        <x:v>DVA</x:v>
      </x:c>
      <x:c r="N8" s="24" t="str">
        <x:v>NORA mcg/kg/min</x:v>
      </x:c>
      <x:c r="O8" s="24" t="str">
        <x:v>Sedação</x:v>
      </x:c>
      <x:c r="P8" s="24" t="str">
        <x:v>RASS alvo</x:v>
      </x:c>
      <x:c r="Q8" s="24" t="str">
        <x:v>CAM-ICU</x:v>
      </x:c>
      <x:c r="R8" s="24" t="str">
        <x:v>ATB atual</x:v>
      </x:c>
      <x:c r="S8" s="24" t="str">
        <x:v>Início ATB</x:v>
      </x:c>
      <x:c r="T8" s="24" t="str">
        <x:v>Dias ATB</x:v>
      </x:c>
      <x:c r="U8" s="24" t="str">
        <x:v>Culturas pendentes</x:v>
      </x:c>
      <x:c r="V8" s="24" t="str">
        <x:v>Função renal</x:v>
      </x:c>
      <x:c r="W8" s="24" t="str">
        <x:v>Anticoagulação</x:v>
      </x:c>
      <x:c r="X8" s="24" t="str">
        <x:v>Devices presentes</x:v>
      </x:c>
      <x:c r="Y8" s="24" t="str">
        <x:v>Device vencido?</x:v>
      </x:c>
      <x:c r="Z8" s="24" t="str">
        <x:v>Pendências do dia</x:v>
      </x:c>
      <x:c r="AA8" s="24" t="str">
        <x:v>Meta 24h</x:v>
      </x:c>
      <x:c r="AB8" s="24" t="str">
        <x:v>Critérios alta UTI</x:v>
      </x:c>
      <x:c r="AC8" s="24" t="str">
        <x:v>Risco global</x:v>
      </x:c>
      <x:c r="AD8" s="24" t="str">
        <x:v>Score risco</x:v>
      </x:c>
    </x:row>
    <x:row r="9">
      <x:c r="A9" s="56" t="str"/>
      <x:c r="B9" s="56" t="str"/>
      <x:c r="C9" s="56" t="str"/>
      <x:c r="D9" s="60" t="str"/>
      <x:c r="E9" s="60" t="str"/>
      <x:c r="F9" s="56" t="str">
        <x:f>IF(E9="","",TODAY()-E9+1)</x:f>
      </x:c>
      <x:c r="G9" s="56" t="str"/>
      <x:c r="H9" s="56" t="str"/>
      <x:c r="I9" s="56" t="str"/>
      <x:c r="J9" s="62" t="str"/>
      <x:c r="K9" s="56" t="str"/>
      <x:c r="L9" s="56" t="str"/>
      <x:c r="M9" s="56" t="str"/>
      <x:c r="N9" s="56" t="str"/>
      <x:c r="O9" s="56" t="str"/>
      <x:c r="P9" s="56" t="str"/>
      <x:c r="Q9" s="56" t="str"/>
      <x:c r="R9" s="56" t="str"/>
      <x:c r="S9" s="60" t="str"/>
      <x:c r="T9" s="56" t="str">
        <x:f>IF(S9="","",TODAY()-S9+1)</x:f>
      </x:c>
      <x:c r="U9" s="56" t="str"/>
      <x:c r="V9" s="56" t="str"/>
      <x:c r="W9" s="56" t="str"/>
      <x:c r="X9" s="56" t="str"/>
      <x:c r="Y9" s="56" t="str"/>
      <x:c r="Z9" s="56" t="str"/>
      <x:c r="AA9" s="56" t="str"/>
      <x:c r="AB9" s="56" t="str"/>
      <x:c r="AC9" s="56" t="str">
        <x:f>IF(AD9="","",IF(AD9&gt;=8,"Crítico",IF(AD9&gt;=5,"Alto",IF(AD9&gt;=3,"Moderado","Baixo"))))</x:f>
      </x:c>
      <x:c r="AD9" s="56" t="str">
        <x:f>IF(A9="","",IF(I9&gt;=70,3,IF(I9&gt;=50,2,IF(I9&gt;0,1,0)))+IF(K9="P1",2,0)+IF(M9="Sim",2,0)+IF(OR(L9="IOT",L9="TQT"),2,0)+IF(OR(V9="LRA KDIGO 3",V9="HD",V9="CRRT"),2,0)+IF(T9&gt;7,1,0)+IF(Y9="Sim",2,0))</x:f>
      </x:c>
    </x:row>
    <x:row r="10">
      <x:c r="A10" s="56" t="str"/>
      <x:c r="B10" s="56" t="str"/>
      <x:c r="C10" s="56" t="str"/>
      <x:c r="D10" s="60" t="str"/>
      <x:c r="E10" s="60" t="str"/>
      <x:c r="F10" s="56" t="str">
        <x:f>IF(E10="","",TODAY()-E10+1)</x:f>
      </x:c>
      <x:c r="G10" s="56" t="str"/>
      <x:c r="H10" s="56" t="str"/>
      <x:c r="I10" s="56" t="str"/>
      <x:c r="J10" s="62" t="str"/>
      <x:c r="K10" s="56" t="str"/>
      <x:c r="L10" s="56" t="str"/>
      <x:c r="M10" s="56" t="str"/>
      <x:c r="N10" s="56" t="str"/>
      <x:c r="O10" s="56" t="str"/>
      <x:c r="P10" s="56" t="str"/>
      <x:c r="Q10" s="56" t="str"/>
      <x:c r="R10" s="56" t="str"/>
      <x:c r="S10" s="60" t="str"/>
      <x:c r="T10" s="56" t="str">
        <x:f>IF(S10="","",TODAY()-S10+1)</x:f>
      </x:c>
      <x:c r="U10" s="56" t="str"/>
      <x:c r="V10" s="56" t="str"/>
      <x:c r="W10" s="56" t="str"/>
      <x:c r="X10" s="56" t="str"/>
      <x:c r="Y10" s="56" t="str"/>
      <x:c r="Z10" s="56" t="str"/>
      <x:c r="AA10" s="56" t="str"/>
      <x:c r="AB10" s="56" t="str"/>
      <x:c r="AC10" s="56" t="str">
        <x:f>IF(AD10="","",IF(AD10&gt;=8,"Crítico",IF(AD10&gt;=5,"Alto",IF(AD10&gt;=3,"Moderado","Baixo"))))</x:f>
      </x:c>
      <x:c r="AD10" s="56" t="str">
        <x:f>IF(A10="","",IF(I10&gt;=70,3,IF(I10&gt;=50,2,IF(I10&gt;0,1,0)))+IF(K10="P1",2,0)+IF(M10="Sim",2,0)+IF(OR(L10="IOT",L10="TQT"),2,0)+IF(OR(V10="LRA KDIGO 3",V10="HD",V10="CRRT"),2,0)+IF(T10&gt;7,1,0)+IF(Y10="Sim",2,0))</x:f>
      </x:c>
    </x:row>
    <x:row r="11">
      <x:c r="A11" s="56" t="str"/>
      <x:c r="B11" s="56" t="str"/>
      <x:c r="C11" s="56" t="str"/>
      <x:c r="D11" s="60" t="str"/>
      <x:c r="E11" s="60" t="str"/>
      <x:c r="F11" s="56" t="str">
        <x:f>IF(E11="","",TODAY()-E11+1)</x:f>
      </x:c>
      <x:c r="G11" s="56" t="str"/>
      <x:c r="H11" s="56" t="str"/>
      <x:c r="I11" s="56" t="str"/>
      <x:c r="J11" s="62" t="str"/>
      <x:c r="K11" s="56" t="str"/>
      <x:c r="L11" s="56" t="str"/>
      <x:c r="M11" s="56" t="str"/>
      <x:c r="N11" s="56" t="str"/>
      <x:c r="O11" s="56" t="str"/>
      <x:c r="P11" s="56" t="str"/>
      <x:c r="Q11" s="56" t="str"/>
      <x:c r="R11" s="56" t="str"/>
      <x:c r="S11" s="60" t="str"/>
      <x:c r="T11" s="56" t="str">
        <x:f>IF(S11="","",TODAY()-S11+1)</x:f>
      </x:c>
      <x:c r="U11" s="56" t="str"/>
      <x:c r="V11" s="56" t="str"/>
      <x:c r="W11" s="56" t="str"/>
      <x:c r="X11" s="56" t="str"/>
      <x:c r="Y11" s="56" t="str"/>
      <x:c r="Z11" s="56" t="str"/>
      <x:c r="AA11" s="56" t="str"/>
      <x:c r="AB11" s="56" t="str"/>
      <x:c r="AC11" s="56" t="str">
        <x:f>IF(AD11="","",IF(AD11&gt;=8,"Crítico",IF(AD11&gt;=5,"Alto",IF(AD11&gt;=3,"Moderado","Baixo"))))</x:f>
      </x:c>
      <x:c r="AD11" s="56" t="str">
        <x:f>IF(A11="","",IF(I11&gt;=70,3,IF(I11&gt;=50,2,IF(I11&gt;0,1,0)))+IF(K11="P1",2,0)+IF(M11="Sim",2,0)+IF(OR(L11="IOT",L11="TQT"),2,0)+IF(OR(V11="LRA KDIGO 3",V11="HD",V11="CRRT"),2,0)+IF(T11&gt;7,1,0)+IF(Y11="Sim",2,0))</x:f>
      </x:c>
    </x:row>
    <x:row r="12">
      <x:c r="A12" s="56" t="str"/>
      <x:c r="B12" s="56" t="str"/>
      <x:c r="C12" s="56" t="str"/>
      <x:c r="D12" s="60" t="str"/>
      <x:c r="E12" s="60" t="str"/>
      <x:c r="F12" s="56" t="str">
        <x:f>IF(E12="","",TODAY()-E12+1)</x:f>
      </x:c>
      <x:c r="G12" s="56" t="str"/>
      <x:c r="H12" s="56" t="str"/>
      <x:c r="I12" s="56" t="str"/>
      <x:c r="J12" s="62" t="str"/>
      <x:c r="K12" s="56" t="str"/>
      <x:c r="L12" s="56" t="str"/>
      <x:c r="M12" s="56" t="str"/>
      <x:c r="N12" s="56" t="str"/>
      <x:c r="O12" s="56" t="str"/>
      <x:c r="P12" s="56" t="str"/>
      <x:c r="Q12" s="56" t="str"/>
      <x:c r="R12" s="56" t="str"/>
      <x:c r="S12" s="60" t="str"/>
      <x:c r="T12" s="56" t="str">
        <x:f>IF(S12="","",TODAY()-S12+1)</x:f>
      </x:c>
      <x:c r="U12" s="56" t="str"/>
      <x:c r="V12" s="56" t="str"/>
      <x:c r="W12" s="56" t="str"/>
      <x:c r="X12" s="56" t="str"/>
      <x:c r="Y12" s="56" t="str"/>
      <x:c r="Z12" s="56" t="str"/>
      <x:c r="AA12" s="56" t="str"/>
      <x:c r="AB12" s="56" t="str"/>
      <x:c r="AC12" s="56" t="str">
        <x:f>IF(AD12="","",IF(AD12&gt;=8,"Crítico",IF(AD12&gt;=5,"Alto",IF(AD12&gt;=3,"Moderado","Baixo"))))</x:f>
      </x:c>
      <x:c r="AD12" s="56" t="str">
        <x:f>IF(A12="","",IF(I12&gt;=70,3,IF(I12&gt;=50,2,IF(I12&gt;0,1,0)))+IF(K12="P1",2,0)+IF(M12="Sim",2,0)+IF(OR(L12="IOT",L12="TQT"),2,0)+IF(OR(V12="LRA KDIGO 3",V12="HD",V12="CRRT"),2,0)+IF(T12&gt;7,1,0)+IF(Y12="Sim",2,0))</x:f>
      </x:c>
    </x:row>
    <x:row r="13">
      <x:c r="A13" s="56" t="str"/>
      <x:c r="B13" s="56" t="str"/>
      <x:c r="C13" s="56" t="str"/>
      <x:c r="D13" s="60" t="str"/>
      <x:c r="E13" s="60" t="str"/>
      <x:c r="F13" s="56" t="str">
        <x:f>IF(E13="","",TODAY()-E13+1)</x:f>
      </x:c>
      <x:c r="G13" s="56" t="str"/>
      <x:c r="H13" s="56" t="str"/>
      <x:c r="I13" s="56" t="str"/>
      <x:c r="J13" s="62" t="str"/>
      <x:c r="K13" s="56" t="str"/>
      <x:c r="L13" s="56" t="str"/>
      <x:c r="M13" s="56" t="str"/>
      <x:c r="N13" s="56" t="str"/>
      <x:c r="O13" s="56" t="str"/>
      <x:c r="P13" s="56" t="str"/>
      <x:c r="Q13" s="56" t="str"/>
      <x:c r="R13" s="56" t="str"/>
      <x:c r="S13" s="60" t="str"/>
      <x:c r="T13" s="56" t="str">
        <x:f>IF(S13="","",TODAY()-S13+1)</x:f>
      </x:c>
      <x:c r="U13" s="56" t="str"/>
      <x:c r="V13" s="56" t="str"/>
      <x:c r="W13" s="56" t="str"/>
      <x:c r="X13" s="56" t="str"/>
      <x:c r="Y13" s="56" t="str"/>
      <x:c r="Z13" s="56" t="str"/>
      <x:c r="AA13" s="56" t="str"/>
      <x:c r="AB13" s="56" t="str"/>
      <x:c r="AC13" s="56" t="str">
        <x:f>IF(AD13="","",IF(AD13&gt;=8,"Crítico",IF(AD13&gt;=5,"Alto",IF(AD13&gt;=3,"Moderado","Baixo"))))</x:f>
      </x:c>
      <x:c r="AD13" s="56" t="str">
        <x:f>IF(A13="","",IF(I13&gt;=70,3,IF(I13&gt;=50,2,IF(I13&gt;0,1,0)))+IF(K13="P1",2,0)+IF(M13="Sim",2,0)+IF(OR(L13="IOT",L13="TQT"),2,0)+IF(OR(V13="LRA KDIGO 3",V13="HD",V13="CRRT"),2,0)+IF(T13&gt;7,1,0)+IF(Y13="Sim",2,0))</x:f>
      </x:c>
    </x:row>
    <x:row r="14">
      <x:c r="A14" s="56" t="str"/>
      <x:c r="B14" s="56" t="str"/>
      <x:c r="C14" s="56" t="str"/>
      <x:c r="D14" s="60" t="str"/>
      <x:c r="E14" s="60" t="str"/>
      <x:c r="F14" s="56" t="str">
        <x:f>IF(E14="","",TODAY()-E14+1)</x:f>
      </x:c>
      <x:c r="G14" s="56" t="str"/>
      <x:c r="H14" s="56" t="str"/>
      <x:c r="I14" s="56" t="str"/>
      <x:c r="J14" s="62" t="str"/>
      <x:c r="K14" s="56" t="str"/>
      <x:c r="L14" s="56" t="str"/>
      <x:c r="M14" s="56" t="str"/>
      <x:c r="N14" s="56" t="str"/>
      <x:c r="O14" s="56" t="str"/>
      <x:c r="P14" s="56" t="str"/>
      <x:c r="Q14" s="56" t="str"/>
      <x:c r="R14" s="56" t="str"/>
      <x:c r="S14" s="60" t="str"/>
      <x:c r="T14" s="56" t="str">
        <x:f>IF(S14="","",TODAY()-S14+1)</x:f>
      </x:c>
      <x:c r="U14" s="56" t="str"/>
      <x:c r="V14" s="56" t="str"/>
      <x:c r="W14" s="56" t="str"/>
      <x:c r="X14" s="56" t="str"/>
      <x:c r="Y14" s="56" t="str"/>
      <x:c r="Z14" s="56" t="str"/>
      <x:c r="AA14" s="56" t="str"/>
      <x:c r="AB14" s="56" t="str"/>
      <x:c r="AC14" s="56" t="str">
        <x:f>IF(AD14="","",IF(AD14&gt;=8,"Crítico",IF(AD14&gt;=5,"Alto",IF(AD14&gt;=3,"Moderado","Baixo"))))</x:f>
      </x:c>
      <x:c r="AD14" s="56" t="str">
        <x:f>IF(A14="","",IF(I14&gt;=70,3,IF(I14&gt;=50,2,IF(I14&gt;0,1,0)))+IF(K14="P1",2,0)+IF(M14="Sim",2,0)+IF(OR(L14="IOT",L14="TQT"),2,0)+IF(OR(V14="LRA KDIGO 3",V14="HD",V14="CRRT"),2,0)+IF(T14&gt;7,1,0)+IF(Y14="Sim",2,0))</x:f>
      </x:c>
    </x:row>
    <x:row r="15">
      <x:c r="A15" s="56" t="str"/>
      <x:c r="B15" s="56" t="str"/>
      <x:c r="C15" s="56" t="str"/>
      <x:c r="D15" s="60" t="str"/>
      <x:c r="E15" s="60" t="str"/>
      <x:c r="F15" s="56" t="str">
        <x:f>IF(E15="","",TODAY()-E15+1)</x:f>
      </x:c>
      <x:c r="G15" s="56" t="str"/>
      <x:c r="H15" s="56" t="str"/>
      <x:c r="I15" s="56" t="str"/>
      <x:c r="J15" s="62" t="str"/>
      <x:c r="K15" s="56" t="str"/>
      <x:c r="L15" s="56" t="str"/>
      <x:c r="M15" s="56" t="str"/>
      <x:c r="N15" s="56" t="str"/>
      <x:c r="O15" s="56" t="str"/>
      <x:c r="P15" s="56" t="str"/>
      <x:c r="Q15" s="56" t="str"/>
      <x:c r="R15" s="56" t="str"/>
      <x:c r="S15" s="60" t="str"/>
      <x:c r="T15" s="56" t="str">
        <x:f>IF(S15="","",TODAY()-S15+1)</x:f>
      </x:c>
      <x:c r="U15" s="56" t="str"/>
      <x:c r="V15" s="56" t="str"/>
      <x:c r="W15" s="56" t="str"/>
      <x:c r="X15" s="56" t="str"/>
      <x:c r="Y15" s="56" t="str"/>
      <x:c r="Z15" s="56" t="str"/>
      <x:c r="AA15" s="56" t="str"/>
      <x:c r="AB15" s="56" t="str"/>
      <x:c r="AC15" s="56" t="str">
        <x:f>IF(AD15="","",IF(AD15&gt;=8,"Crítico",IF(AD15&gt;=5,"Alto",IF(AD15&gt;=3,"Moderado","Baixo"))))</x:f>
      </x:c>
      <x:c r="AD15" s="56" t="str">
        <x:f>IF(A15="","",IF(I15&gt;=70,3,IF(I15&gt;=50,2,IF(I15&gt;0,1,0)))+IF(K15="P1",2,0)+IF(M15="Sim",2,0)+IF(OR(L15="IOT",L15="TQT"),2,0)+IF(OR(V15="LRA KDIGO 3",V15="HD",V15="CRRT"),2,0)+IF(T15&gt;7,1,0)+IF(Y15="Sim",2,0))</x:f>
      </x:c>
    </x:row>
    <x:row r="16">
      <x:c r="A16" s="56" t="str"/>
      <x:c r="B16" s="56" t="str"/>
      <x:c r="C16" s="56" t="str"/>
      <x:c r="D16" s="60" t="str"/>
      <x:c r="E16" s="60" t="str"/>
      <x:c r="F16" s="56" t="str">
        <x:f>IF(E16="","",TODAY()-E16+1)</x:f>
      </x:c>
      <x:c r="G16" s="56" t="str"/>
      <x:c r="H16" s="56" t="str"/>
      <x:c r="I16" s="56" t="str"/>
      <x:c r="J16" s="62" t="str"/>
      <x:c r="K16" s="56" t="str"/>
      <x:c r="L16" s="56" t="str"/>
      <x:c r="M16" s="56" t="str"/>
      <x:c r="N16" s="56" t="str"/>
      <x:c r="O16" s="56" t="str"/>
      <x:c r="P16" s="56" t="str"/>
      <x:c r="Q16" s="56" t="str"/>
      <x:c r="R16" s="56" t="str"/>
      <x:c r="S16" s="60" t="str"/>
      <x:c r="T16" s="56" t="str">
        <x:f>IF(S16="","",TODAY()-S16+1)</x:f>
      </x:c>
      <x:c r="U16" s="56" t="str"/>
      <x:c r="V16" s="56" t="str"/>
      <x:c r="W16" s="56" t="str"/>
      <x:c r="X16" s="56" t="str"/>
      <x:c r="Y16" s="56" t="str"/>
      <x:c r="Z16" s="56" t="str"/>
      <x:c r="AA16" s="56" t="str"/>
      <x:c r="AB16" s="56" t="str"/>
      <x:c r="AC16" s="56" t="str">
        <x:f>IF(AD16="","",IF(AD16&gt;=8,"Crítico",IF(AD16&gt;=5,"Alto",IF(AD16&gt;=3,"Moderado","Baixo"))))</x:f>
      </x:c>
      <x:c r="AD16" s="56" t="str">
        <x:f>IF(A16="","",IF(I16&gt;=70,3,IF(I16&gt;=50,2,IF(I16&gt;0,1,0)))+IF(K16="P1",2,0)+IF(M16="Sim",2,0)+IF(OR(L16="IOT",L16="TQT"),2,0)+IF(OR(V16="LRA KDIGO 3",V16="HD",V16="CRRT"),2,0)+IF(T16&gt;7,1,0)+IF(Y16="Sim",2,0))</x:f>
      </x:c>
    </x:row>
    <x:row r="17">
      <x:c r="A17" s="56" t="str"/>
      <x:c r="B17" s="56" t="str"/>
      <x:c r="C17" s="56" t="str"/>
      <x:c r="D17" s="60" t="str"/>
      <x:c r="E17" s="60" t="str"/>
      <x:c r="F17" s="56" t="str">
        <x:f>IF(E17="","",TODAY()-E17+1)</x:f>
      </x:c>
      <x:c r="G17" s="56" t="str"/>
      <x:c r="H17" s="56" t="str"/>
      <x:c r="I17" s="56" t="str"/>
      <x:c r="J17" s="62" t="str"/>
      <x:c r="K17" s="56" t="str"/>
      <x:c r="L17" s="56" t="str"/>
      <x:c r="M17" s="56" t="str"/>
      <x:c r="N17" s="56" t="str"/>
      <x:c r="O17" s="56" t="str"/>
      <x:c r="P17" s="56" t="str"/>
      <x:c r="Q17" s="56" t="str"/>
      <x:c r="R17" s="56" t="str"/>
      <x:c r="S17" s="60" t="str"/>
      <x:c r="T17" s="56" t="str">
        <x:f>IF(S17="","",TODAY()-S17+1)</x:f>
      </x:c>
      <x:c r="U17" s="56" t="str"/>
      <x:c r="V17" s="56" t="str"/>
      <x:c r="W17" s="56" t="str"/>
      <x:c r="X17" s="56" t="str"/>
      <x:c r="Y17" s="56" t="str"/>
      <x:c r="Z17" s="56" t="str"/>
      <x:c r="AA17" s="56" t="str"/>
      <x:c r="AB17" s="56" t="str"/>
      <x:c r="AC17" s="56" t="str">
        <x:f>IF(AD17="","",IF(AD17&gt;=8,"Crítico",IF(AD17&gt;=5,"Alto",IF(AD17&gt;=3,"Moderado","Baixo"))))</x:f>
      </x:c>
      <x:c r="AD17" s="56" t="str">
        <x:f>IF(A17="","",IF(I17&gt;=70,3,IF(I17&gt;=50,2,IF(I17&gt;0,1,0)))+IF(K17="P1",2,0)+IF(M17="Sim",2,0)+IF(OR(L17="IOT",L17="TQT"),2,0)+IF(OR(V17="LRA KDIGO 3",V17="HD",V17="CRRT"),2,0)+IF(T17&gt;7,1,0)+IF(Y17="Sim",2,0))</x:f>
      </x:c>
    </x:row>
    <x:row r="18">
      <x:c r="A18" s="56" t="str"/>
      <x:c r="B18" s="56" t="str"/>
      <x:c r="C18" s="56" t="str"/>
      <x:c r="D18" s="60" t="str"/>
      <x:c r="E18" s="60" t="str"/>
      <x:c r="F18" s="56" t="str">
        <x:f>IF(E18="","",TODAY()-E18+1)</x:f>
      </x:c>
      <x:c r="G18" s="56" t="str"/>
      <x:c r="H18" s="56" t="str"/>
      <x:c r="I18" s="56" t="str"/>
      <x:c r="J18" s="62" t="str"/>
      <x:c r="K18" s="56" t="str"/>
      <x:c r="L18" s="56" t="str"/>
      <x:c r="M18" s="56" t="str"/>
      <x:c r="N18" s="56" t="str"/>
      <x:c r="O18" s="56" t="str"/>
      <x:c r="P18" s="56" t="str"/>
      <x:c r="Q18" s="56" t="str"/>
      <x:c r="R18" s="56" t="str"/>
      <x:c r="S18" s="60" t="str"/>
      <x:c r="T18" s="56" t="str">
        <x:f>IF(S18="","",TODAY()-S18+1)</x:f>
      </x:c>
      <x:c r="U18" s="56" t="str"/>
      <x:c r="V18" s="56" t="str"/>
      <x:c r="W18" s="56" t="str"/>
      <x:c r="X18" s="56" t="str"/>
      <x:c r="Y18" s="56" t="str"/>
      <x:c r="Z18" s="56" t="str"/>
      <x:c r="AA18" s="56" t="str"/>
      <x:c r="AB18" s="56" t="str"/>
      <x:c r="AC18" s="56" t="str">
        <x:f>IF(AD18="","",IF(AD18&gt;=8,"Crítico",IF(AD18&gt;=5,"Alto",IF(AD18&gt;=3,"Moderado","Baixo"))))</x:f>
      </x:c>
      <x:c r="AD18" s="56" t="str">
        <x:f>IF(A18="","",IF(I18&gt;=70,3,IF(I18&gt;=50,2,IF(I18&gt;0,1,0)))+IF(K18="P1",2,0)+IF(M18="Sim",2,0)+IF(OR(L18="IOT",L18="TQT"),2,0)+IF(OR(V18="LRA KDIGO 3",V18="HD",V18="CRRT"),2,0)+IF(T18&gt;7,1,0)+IF(Y18="Sim",2,0))</x:f>
      </x:c>
    </x:row>
    <x:row r="19">
      <x:c r="A19" s="56" t="str"/>
      <x:c r="B19" s="56" t="str"/>
      <x:c r="C19" s="56" t="str"/>
      <x:c r="D19" s="60" t="str"/>
      <x:c r="E19" s="60" t="str"/>
      <x:c r="F19" s="56" t="str">
        <x:f>IF(E19="","",TODAY()-E19+1)</x:f>
      </x:c>
      <x:c r="G19" s="56" t="str"/>
      <x:c r="H19" s="56" t="str"/>
      <x:c r="I19" s="56" t="str"/>
      <x:c r="J19" s="62" t="str"/>
      <x:c r="K19" s="56" t="str"/>
      <x:c r="L19" s="56" t="str"/>
      <x:c r="M19" s="56" t="str"/>
      <x:c r="N19" s="56" t="str"/>
      <x:c r="O19" s="56" t="str"/>
      <x:c r="P19" s="56" t="str"/>
      <x:c r="Q19" s="56" t="str"/>
      <x:c r="R19" s="56" t="str"/>
      <x:c r="S19" s="60" t="str"/>
      <x:c r="T19" s="56" t="str">
        <x:f>IF(S19="","",TODAY()-S19+1)</x:f>
      </x:c>
      <x:c r="U19" s="56" t="str"/>
      <x:c r="V19" s="56" t="str"/>
      <x:c r="W19" s="56" t="str"/>
      <x:c r="X19" s="56" t="str"/>
      <x:c r="Y19" s="56" t="str"/>
      <x:c r="Z19" s="56" t="str"/>
      <x:c r="AA19" s="56" t="str"/>
      <x:c r="AB19" s="56" t="str"/>
      <x:c r="AC19" s="56" t="str">
        <x:f>IF(AD19="","",IF(AD19&gt;=8,"Crítico",IF(AD19&gt;=5,"Alto",IF(AD19&gt;=3,"Moderado","Baixo"))))</x:f>
      </x:c>
      <x:c r="AD19" s="56" t="str">
        <x:f>IF(A19="","",IF(I19&gt;=70,3,IF(I19&gt;=50,2,IF(I19&gt;0,1,0)))+IF(K19="P1",2,0)+IF(M19="Sim",2,0)+IF(OR(L19="IOT",L19="TQT"),2,0)+IF(OR(V19="LRA KDIGO 3",V19="HD",V19="CRRT"),2,0)+IF(T19&gt;7,1,0)+IF(Y19="Sim",2,0))</x:f>
      </x:c>
    </x:row>
    <x:row r="20">
      <x:c r="A20" s="56" t="str"/>
      <x:c r="B20" s="56" t="str"/>
      <x:c r="C20" s="56" t="str"/>
      <x:c r="D20" s="60" t="str"/>
      <x:c r="E20" s="60" t="str"/>
      <x:c r="F20" s="56" t="str">
        <x:f>IF(E20="","",TODAY()-E20+1)</x:f>
      </x:c>
      <x:c r="G20" s="56" t="str"/>
      <x:c r="H20" s="56" t="str"/>
      <x:c r="I20" s="56" t="str"/>
      <x:c r="J20" s="62" t="str"/>
      <x:c r="K20" s="56" t="str"/>
      <x:c r="L20" s="56" t="str"/>
      <x:c r="M20" s="56" t="str"/>
      <x:c r="N20" s="56" t="str"/>
      <x:c r="O20" s="56" t="str"/>
      <x:c r="P20" s="56" t="str"/>
      <x:c r="Q20" s="56" t="str"/>
      <x:c r="R20" s="56" t="str"/>
      <x:c r="S20" s="60" t="str"/>
      <x:c r="T20" s="56" t="str">
        <x:f>IF(S20="","",TODAY()-S20+1)</x:f>
      </x:c>
      <x:c r="U20" s="56" t="str"/>
      <x:c r="V20" s="56" t="str"/>
      <x:c r="W20" s="56" t="str"/>
      <x:c r="X20" s="56" t="str"/>
      <x:c r="Y20" s="56" t="str"/>
      <x:c r="Z20" s="56" t="str"/>
      <x:c r="AA20" s="56" t="str"/>
      <x:c r="AB20" s="56" t="str"/>
      <x:c r="AC20" s="56" t="str">
        <x:f>IF(AD20="","",IF(AD20&gt;=8,"Crítico",IF(AD20&gt;=5,"Alto",IF(AD20&gt;=3,"Moderado","Baixo"))))</x:f>
      </x:c>
      <x:c r="AD20" s="56" t="str">
        <x:f>IF(A20="","",IF(I20&gt;=70,3,IF(I20&gt;=50,2,IF(I20&gt;0,1,0)))+IF(K20="P1",2,0)+IF(M20="Sim",2,0)+IF(OR(L20="IOT",L20="TQT"),2,0)+IF(OR(V20="LRA KDIGO 3",V20="HD",V20="CRRT"),2,0)+IF(T20&gt;7,1,0)+IF(Y20="Sim",2,0))</x:f>
      </x:c>
    </x:row>
    <x:row r="21">
      <x:c r="A21" s="56" t="str"/>
      <x:c r="B21" s="56" t="str"/>
      <x:c r="C21" s="56" t="str"/>
      <x:c r="D21" s="60" t="str"/>
      <x:c r="E21" s="60" t="str"/>
      <x:c r="F21" s="56" t="str">
        <x:f>IF(E21="","",TODAY()-E21+1)</x:f>
      </x:c>
      <x:c r="G21" s="56" t="str"/>
      <x:c r="H21" s="56" t="str"/>
      <x:c r="I21" s="56" t="str"/>
      <x:c r="J21" s="62" t="str"/>
      <x:c r="K21" s="56" t="str"/>
      <x:c r="L21" s="56" t="str"/>
      <x:c r="M21" s="56" t="str"/>
      <x:c r="N21" s="56" t="str"/>
      <x:c r="O21" s="56" t="str"/>
      <x:c r="P21" s="56" t="str"/>
      <x:c r="Q21" s="56" t="str"/>
      <x:c r="R21" s="56" t="str"/>
      <x:c r="S21" s="60" t="str"/>
      <x:c r="T21" s="56" t="str">
        <x:f>IF(S21="","",TODAY()-S21+1)</x:f>
      </x:c>
      <x:c r="U21" s="56" t="str"/>
      <x:c r="V21" s="56" t="str"/>
      <x:c r="W21" s="56" t="str"/>
      <x:c r="X21" s="56" t="str"/>
      <x:c r="Y21" s="56" t="str"/>
      <x:c r="Z21" s="56" t="str"/>
      <x:c r="AA21" s="56" t="str"/>
      <x:c r="AB21" s="56" t="str"/>
      <x:c r="AC21" s="56" t="str">
        <x:f>IF(AD21="","",IF(AD21&gt;=8,"Crítico",IF(AD21&gt;=5,"Alto",IF(AD21&gt;=3,"Moderado","Baixo"))))</x:f>
      </x:c>
      <x:c r="AD21" s="56" t="str">
        <x:f>IF(A21="","",IF(I21&gt;=70,3,IF(I21&gt;=50,2,IF(I21&gt;0,1,0)))+IF(K21="P1",2,0)+IF(M21="Sim",2,0)+IF(OR(L21="IOT",L21="TQT"),2,0)+IF(OR(V21="LRA KDIGO 3",V21="HD",V21="CRRT"),2,0)+IF(T21&gt;7,1,0)+IF(Y21="Sim",2,0))</x:f>
      </x:c>
    </x:row>
    <x:row r="22">
      <x:c r="A22" s="56" t="str"/>
      <x:c r="B22" s="56" t="str"/>
      <x:c r="C22" s="56" t="str"/>
      <x:c r="D22" s="60" t="str"/>
      <x:c r="E22" s="60" t="str"/>
      <x:c r="F22" s="56" t="str">
        <x:f>IF(E22="","",TODAY()-E22+1)</x:f>
      </x:c>
      <x:c r="G22" s="56" t="str"/>
      <x:c r="H22" s="56" t="str"/>
      <x:c r="I22" s="56" t="str"/>
      <x:c r="J22" s="62" t="str"/>
      <x:c r="K22" s="56" t="str"/>
      <x:c r="L22" s="56" t="str"/>
      <x:c r="M22" s="56" t="str"/>
      <x:c r="N22" s="56" t="str"/>
      <x:c r="O22" s="56" t="str"/>
      <x:c r="P22" s="56" t="str"/>
      <x:c r="Q22" s="56" t="str"/>
      <x:c r="R22" s="56" t="str"/>
      <x:c r="S22" s="60" t="str"/>
      <x:c r="T22" s="56" t="str">
        <x:f>IF(S22="","",TODAY()-S22+1)</x:f>
      </x:c>
      <x:c r="U22" s="56" t="str"/>
      <x:c r="V22" s="56" t="str"/>
      <x:c r="W22" s="56" t="str"/>
      <x:c r="X22" s="56" t="str"/>
      <x:c r="Y22" s="56" t="str"/>
      <x:c r="Z22" s="56" t="str"/>
      <x:c r="AA22" s="56" t="str"/>
      <x:c r="AB22" s="56" t="str"/>
      <x:c r="AC22" s="56" t="str">
        <x:f>IF(AD22="","",IF(AD22&gt;=8,"Crítico",IF(AD22&gt;=5,"Alto",IF(AD22&gt;=3,"Moderado","Baixo"))))</x:f>
      </x:c>
      <x:c r="AD22" s="56" t="str">
        <x:f>IF(A22="","",IF(I22&gt;=70,3,IF(I22&gt;=50,2,IF(I22&gt;0,1,0)))+IF(K22="P1",2,0)+IF(M22="Sim",2,0)+IF(OR(L22="IOT",L22="TQT"),2,0)+IF(OR(V22="LRA KDIGO 3",V22="HD",V22="CRRT"),2,0)+IF(T22&gt;7,1,0)+IF(Y22="Sim",2,0))</x:f>
      </x:c>
    </x:row>
    <x:row r="23">
      <x:c r="A23" s="56" t="str"/>
      <x:c r="B23" s="56" t="str"/>
      <x:c r="C23" s="56" t="str"/>
      <x:c r="D23" s="60" t="str"/>
      <x:c r="E23" s="60" t="str"/>
      <x:c r="F23" s="56" t="str">
        <x:f>IF(E23="","",TODAY()-E23+1)</x:f>
      </x:c>
      <x:c r="G23" s="56" t="str"/>
      <x:c r="H23" s="56" t="str"/>
      <x:c r="I23" s="56" t="str"/>
      <x:c r="J23" s="62" t="str"/>
      <x:c r="K23" s="56" t="str"/>
      <x:c r="L23" s="56" t="str"/>
      <x:c r="M23" s="56" t="str"/>
      <x:c r="N23" s="56" t="str"/>
      <x:c r="O23" s="56" t="str"/>
      <x:c r="P23" s="56" t="str"/>
      <x:c r="Q23" s="56" t="str"/>
      <x:c r="R23" s="56" t="str"/>
      <x:c r="S23" s="60" t="str"/>
      <x:c r="T23" s="56" t="str">
        <x:f>IF(S23="","",TODAY()-S23+1)</x:f>
      </x:c>
      <x:c r="U23" s="56" t="str"/>
      <x:c r="V23" s="56" t="str"/>
      <x:c r="W23" s="56" t="str"/>
      <x:c r="X23" s="56" t="str"/>
      <x:c r="Y23" s="56" t="str"/>
      <x:c r="Z23" s="56" t="str"/>
      <x:c r="AA23" s="56" t="str"/>
      <x:c r="AB23" s="56" t="str"/>
      <x:c r="AC23" s="56" t="str">
        <x:f>IF(AD23="","",IF(AD23&gt;=8,"Crítico",IF(AD23&gt;=5,"Alto",IF(AD23&gt;=3,"Moderado","Baixo"))))</x:f>
      </x:c>
      <x:c r="AD23" s="56" t="str">
        <x:f>IF(A23="","",IF(I23&gt;=70,3,IF(I23&gt;=50,2,IF(I23&gt;0,1,0)))+IF(K23="P1",2,0)+IF(M23="Sim",2,0)+IF(OR(L23="IOT",L23="TQT"),2,0)+IF(OR(V23="LRA KDIGO 3",V23="HD",V23="CRRT"),2,0)+IF(T23&gt;7,1,0)+IF(Y23="Sim",2,0))</x:f>
      </x:c>
    </x:row>
    <x:row r="24">
      <x:c r="A24" s="56" t="str"/>
      <x:c r="B24" s="56" t="str"/>
      <x:c r="C24" s="56" t="str"/>
      <x:c r="D24" s="60" t="str"/>
      <x:c r="E24" s="60" t="str"/>
      <x:c r="F24" s="56" t="str">
        <x:f>IF(E24="","",TODAY()-E24+1)</x:f>
      </x:c>
      <x:c r="G24" s="56" t="str"/>
      <x:c r="H24" s="56" t="str"/>
      <x:c r="I24" s="56" t="str"/>
      <x:c r="J24" s="62" t="str"/>
      <x:c r="K24" s="56" t="str"/>
      <x:c r="L24" s="56" t="str"/>
      <x:c r="M24" s="56" t="str"/>
      <x:c r="N24" s="56" t="str"/>
      <x:c r="O24" s="56" t="str"/>
      <x:c r="P24" s="56" t="str"/>
      <x:c r="Q24" s="56" t="str"/>
      <x:c r="R24" s="56" t="str"/>
      <x:c r="S24" s="60" t="str"/>
      <x:c r="T24" s="56" t="str">
        <x:f>IF(S24="","",TODAY()-S24+1)</x:f>
      </x:c>
      <x:c r="U24" s="56" t="str"/>
      <x:c r="V24" s="56" t="str"/>
      <x:c r="W24" s="56" t="str"/>
      <x:c r="X24" s="56" t="str"/>
      <x:c r="Y24" s="56" t="str"/>
      <x:c r="Z24" s="56" t="str"/>
      <x:c r="AA24" s="56" t="str"/>
      <x:c r="AB24" s="56" t="str"/>
      <x:c r="AC24" s="56" t="str">
        <x:f>IF(AD24="","",IF(AD24&gt;=8,"Crítico",IF(AD24&gt;=5,"Alto",IF(AD24&gt;=3,"Moderado","Baixo"))))</x:f>
      </x:c>
      <x:c r="AD24" s="56" t="str">
        <x:f>IF(A24="","",IF(I24&gt;=70,3,IF(I24&gt;=50,2,IF(I24&gt;0,1,0)))+IF(K24="P1",2,0)+IF(M24="Sim",2,0)+IF(OR(L24="IOT",L24="TQT"),2,0)+IF(OR(V24="LRA KDIGO 3",V24="HD",V24="CRRT"),2,0)+IF(T24&gt;7,1,0)+IF(Y24="Sim",2,0))</x:f>
      </x:c>
    </x:row>
    <x:row r="25">
      <x:c r="A25" s="56" t="str"/>
      <x:c r="B25" s="56" t="str"/>
      <x:c r="C25" s="56" t="str"/>
      <x:c r="D25" s="60" t="str"/>
      <x:c r="E25" s="60" t="str"/>
      <x:c r="F25" s="56" t="str">
        <x:f>IF(E25="","",TODAY()-E25+1)</x:f>
      </x:c>
      <x:c r="G25" s="56" t="str"/>
      <x:c r="H25" s="56" t="str"/>
      <x:c r="I25" s="56" t="str"/>
      <x:c r="J25" s="62" t="str"/>
      <x:c r="K25" s="56" t="str"/>
      <x:c r="L25" s="56" t="str"/>
      <x:c r="M25" s="56" t="str"/>
      <x:c r="N25" s="56" t="str"/>
      <x:c r="O25" s="56" t="str"/>
      <x:c r="P25" s="56" t="str"/>
      <x:c r="Q25" s="56" t="str"/>
      <x:c r="R25" s="56" t="str"/>
      <x:c r="S25" s="60" t="str"/>
      <x:c r="T25" s="56" t="str">
        <x:f>IF(S25="","",TODAY()-S25+1)</x:f>
      </x:c>
      <x:c r="U25" s="56" t="str"/>
      <x:c r="V25" s="56" t="str"/>
      <x:c r="W25" s="56" t="str"/>
      <x:c r="X25" s="56" t="str"/>
      <x:c r="Y25" s="56" t="str"/>
      <x:c r="Z25" s="56" t="str"/>
      <x:c r="AA25" s="56" t="str"/>
      <x:c r="AB25" s="56" t="str"/>
      <x:c r="AC25" s="56" t="str">
        <x:f>IF(AD25="","",IF(AD25&gt;=8,"Crítico",IF(AD25&gt;=5,"Alto",IF(AD25&gt;=3,"Moderado","Baixo"))))</x:f>
      </x:c>
      <x:c r="AD25" s="56" t="str">
        <x:f>IF(A25="","",IF(I25&gt;=70,3,IF(I25&gt;=50,2,IF(I25&gt;0,1,0)))+IF(K25="P1",2,0)+IF(M25="Sim",2,0)+IF(OR(L25="IOT",L25="TQT"),2,0)+IF(OR(V25="LRA KDIGO 3",V25="HD",V25="CRRT"),2,0)+IF(T25&gt;7,1,0)+IF(Y25="Sim",2,0))</x:f>
      </x:c>
    </x:row>
    <x:row r="26">
      <x:c r="A26" s="56" t="str"/>
      <x:c r="B26" s="56" t="str"/>
      <x:c r="C26" s="56" t="str"/>
      <x:c r="D26" s="60" t="str"/>
      <x:c r="E26" s="60" t="str"/>
      <x:c r="F26" s="56" t="str">
        <x:f>IF(E26="","",TODAY()-E26+1)</x:f>
      </x:c>
      <x:c r="G26" s="56" t="str"/>
      <x:c r="H26" s="56" t="str"/>
      <x:c r="I26" s="56" t="str"/>
      <x:c r="J26" s="62" t="str"/>
      <x:c r="K26" s="56" t="str"/>
      <x:c r="L26" s="56" t="str"/>
      <x:c r="M26" s="56" t="str"/>
      <x:c r="N26" s="56" t="str"/>
      <x:c r="O26" s="56" t="str"/>
      <x:c r="P26" s="56" t="str"/>
      <x:c r="Q26" s="56" t="str"/>
      <x:c r="R26" s="56" t="str"/>
      <x:c r="S26" s="60" t="str"/>
      <x:c r="T26" s="56" t="str">
        <x:f>IF(S26="","",TODAY()-S26+1)</x:f>
      </x:c>
      <x:c r="U26" s="56" t="str"/>
      <x:c r="V26" s="56" t="str"/>
      <x:c r="W26" s="56" t="str"/>
      <x:c r="X26" s="56" t="str"/>
      <x:c r="Y26" s="56" t="str"/>
      <x:c r="Z26" s="56" t="str"/>
      <x:c r="AA26" s="56" t="str"/>
      <x:c r="AB26" s="56" t="str"/>
      <x:c r="AC26" s="56" t="str">
        <x:f>IF(AD26="","",IF(AD26&gt;=8,"Crítico",IF(AD26&gt;=5,"Alto",IF(AD26&gt;=3,"Moderado","Baixo"))))</x:f>
      </x:c>
      <x:c r="AD26" s="56" t="str">
        <x:f>IF(A26="","",IF(I26&gt;=70,3,IF(I26&gt;=50,2,IF(I26&gt;0,1,0)))+IF(K26="P1",2,0)+IF(M26="Sim",2,0)+IF(OR(L26="IOT",L26="TQT"),2,0)+IF(OR(V26="LRA KDIGO 3",V26="HD",V26="CRRT"),2,0)+IF(T26&gt;7,1,0)+IF(Y26="Sim",2,0))</x:f>
      </x:c>
    </x:row>
    <x:row r="27">
      <x:c r="A27" s="56" t="str"/>
      <x:c r="B27" s="56" t="str"/>
      <x:c r="C27" s="56" t="str"/>
      <x:c r="D27" s="60" t="str"/>
      <x:c r="E27" s="60" t="str"/>
      <x:c r="F27" s="56" t="str">
        <x:f>IF(E27="","",TODAY()-E27+1)</x:f>
      </x:c>
      <x:c r="G27" s="56" t="str"/>
      <x:c r="H27" s="56" t="str"/>
      <x:c r="I27" s="56" t="str"/>
      <x:c r="J27" s="62" t="str"/>
      <x:c r="K27" s="56" t="str"/>
      <x:c r="L27" s="56" t="str"/>
      <x:c r="M27" s="56" t="str"/>
      <x:c r="N27" s="56" t="str"/>
      <x:c r="O27" s="56" t="str"/>
      <x:c r="P27" s="56" t="str"/>
      <x:c r="Q27" s="56" t="str"/>
      <x:c r="R27" s="56" t="str"/>
      <x:c r="S27" s="60" t="str"/>
      <x:c r="T27" s="56" t="str">
        <x:f>IF(S27="","",TODAY()-S27+1)</x:f>
      </x:c>
      <x:c r="U27" s="56" t="str"/>
      <x:c r="V27" s="56" t="str"/>
      <x:c r="W27" s="56" t="str"/>
      <x:c r="X27" s="56" t="str"/>
      <x:c r="Y27" s="56" t="str"/>
      <x:c r="Z27" s="56" t="str"/>
      <x:c r="AA27" s="56" t="str"/>
      <x:c r="AB27" s="56" t="str"/>
      <x:c r="AC27" s="56" t="str">
        <x:f>IF(AD27="","",IF(AD27&gt;=8,"Crítico",IF(AD27&gt;=5,"Alto",IF(AD27&gt;=3,"Moderado","Baixo"))))</x:f>
      </x:c>
      <x:c r="AD27" s="56" t="str">
        <x:f>IF(A27="","",IF(I27&gt;=70,3,IF(I27&gt;=50,2,IF(I27&gt;0,1,0)))+IF(K27="P1",2,0)+IF(M27="Sim",2,0)+IF(OR(L27="IOT",L27="TQT"),2,0)+IF(OR(V27="LRA KDIGO 3",V27="HD",V27="CRRT"),2,0)+IF(T27&gt;7,1,0)+IF(Y27="Sim",2,0))</x:f>
      </x:c>
    </x:row>
    <x:row r="28">
      <x:c r="A28" s="56" t="str"/>
      <x:c r="B28" s="56" t="str"/>
      <x:c r="C28" s="56" t="str"/>
      <x:c r="D28" s="60" t="str"/>
      <x:c r="E28" s="60" t="str"/>
      <x:c r="F28" s="56" t="str">
        <x:f>IF(E28="","",TODAY()-E28+1)</x:f>
      </x:c>
      <x:c r="G28" s="56" t="str"/>
      <x:c r="H28" s="56" t="str"/>
      <x:c r="I28" s="56" t="str"/>
      <x:c r="J28" s="62" t="str"/>
      <x:c r="K28" s="56" t="str"/>
      <x:c r="L28" s="56" t="str"/>
      <x:c r="M28" s="56" t="str"/>
      <x:c r="N28" s="56" t="str"/>
      <x:c r="O28" s="56" t="str"/>
      <x:c r="P28" s="56" t="str"/>
      <x:c r="Q28" s="56" t="str"/>
      <x:c r="R28" s="56" t="str"/>
      <x:c r="S28" s="60" t="str"/>
      <x:c r="T28" s="56" t="str">
        <x:f>IF(S28="","",TODAY()-S28+1)</x:f>
      </x:c>
      <x:c r="U28" s="56" t="str"/>
      <x:c r="V28" s="56" t="str"/>
      <x:c r="W28" s="56" t="str"/>
      <x:c r="X28" s="56" t="str"/>
      <x:c r="Y28" s="56" t="str"/>
      <x:c r="Z28" s="56" t="str"/>
      <x:c r="AA28" s="56" t="str"/>
      <x:c r="AB28" s="56" t="str"/>
      <x:c r="AC28" s="56" t="str">
        <x:f>IF(AD28="","",IF(AD28&gt;=8,"Crítico",IF(AD28&gt;=5,"Alto",IF(AD28&gt;=3,"Moderado","Baixo"))))</x:f>
      </x:c>
      <x:c r="AD28" s="56" t="str">
        <x:f>IF(A28="","",IF(I28&gt;=70,3,IF(I28&gt;=50,2,IF(I28&gt;0,1,0)))+IF(K28="P1",2,0)+IF(M28="Sim",2,0)+IF(OR(L28="IOT",L28="TQT"),2,0)+IF(OR(V28="LRA KDIGO 3",V28="HD",V28="CRRT"),2,0)+IF(T28&gt;7,1,0)+IF(Y28="Sim",2,0))</x:f>
      </x:c>
    </x:row>
    <x:row r="29">
      <x:c r="A29" s="56" t="str"/>
      <x:c r="B29" s="56" t="str"/>
      <x:c r="C29" s="56" t="str"/>
      <x:c r="D29" s="60" t="str"/>
      <x:c r="E29" s="60" t="str"/>
      <x:c r="F29" s="56" t="str">
        <x:f>IF(E29="","",TODAY()-E29+1)</x:f>
      </x:c>
      <x:c r="G29" s="56" t="str"/>
      <x:c r="H29" s="56" t="str"/>
      <x:c r="I29" s="56" t="str"/>
      <x:c r="J29" s="62" t="str"/>
      <x:c r="K29" s="56" t="str"/>
      <x:c r="L29" s="56" t="str"/>
      <x:c r="M29" s="56" t="str"/>
      <x:c r="N29" s="56" t="str"/>
      <x:c r="O29" s="56" t="str"/>
      <x:c r="P29" s="56" t="str"/>
      <x:c r="Q29" s="56" t="str"/>
      <x:c r="R29" s="56" t="str"/>
      <x:c r="S29" s="60" t="str"/>
      <x:c r="T29" s="56" t="str">
        <x:f>IF(S29="","",TODAY()-S29+1)</x:f>
      </x:c>
      <x:c r="U29" s="56" t="str"/>
      <x:c r="V29" s="56" t="str"/>
      <x:c r="W29" s="56" t="str"/>
      <x:c r="X29" s="56" t="str"/>
      <x:c r="Y29" s="56" t="str"/>
      <x:c r="Z29" s="56" t="str"/>
      <x:c r="AA29" s="56" t="str"/>
      <x:c r="AB29" s="56" t="str"/>
      <x:c r="AC29" s="56" t="str">
        <x:f>IF(AD29="","",IF(AD29&gt;=8,"Crítico",IF(AD29&gt;=5,"Alto",IF(AD29&gt;=3,"Moderado","Baixo"))))</x:f>
      </x:c>
      <x:c r="AD29" s="56" t="str">
        <x:f>IF(A29="","",IF(I29&gt;=70,3,IF(I29&gt;=50,2,IF(I29&gt;0,1,0)))+IF(K29="P1",2,0)+IF(M29="Sim",2,0)+IF(OR(L29="IOT",L29="TQT"),2,0)+IF(OR(V29="LRA KDIGO 3",V29="HD",V29="CRRT"),2,0)+IF(T29&gt;7,1,0)+IF(Y29="Sim",2,0))</x:f>
      </x:c>
    </x:row>
    <x:row r="30">
      <x:c r="A30" s="56" t="str"/>
      <x:c r="B30" s="56" t="str"/>
      <x:c r="C30" s="56" t="str"/>
      <x:c r="D30" s="60" t="str"/>
      <x:c r="E30" s="60" t="str"/>
      <x:c r="F30" s="56" t="str">
        <x:f>IF(E30="","",TODAY()-E30+1)</x:f>
      </x:c>
      <x:c r="G30" s="56" t="str"/>
      <x:c r="H30" s="56" t="str"/>
      <x:c r="I30" s="56" t="str"/>
      <x:c r="J30" s="62" t="str"/>
      <x:c r="K30" s="56" t="str"/>
      <x:c r="L30" s="56" t="str"/>
      <x:c r="M30" s="56" t="str"/>
      <x:c r="N30" s="56" t="str"/>
      <x:c r="O30" s="56" t="str"/>
      <x:c r="P30" s="56" t="str"/>
      <x:c r="Q30" s="56" t="str"/>
      <x:c r="R30" s="56" t="str"/>
      <x:c r="S30" s="60" t="str"/>
      <x:c r="T30" s="56" t="str">
        <x:f>IF(S30="","",TODAY()-S30+1)</x:f>
      </x:c>
      <x:c r="U30" s="56" t="str"/>
      <x:c r="V30" s="56" t="str"/>
      <x:c r="W30" s="56" t="str"/>
      <x:c r="X30" s="56" t="str"/>
      <x:c r="Y30" s="56" t="str"/>
      <x:c r="Z30" s="56" t="str"/>
      <x:c r="AA30" s="56" t="str"/>
      <x:c r="AB30" s="56" t="str"/>
      <x:c r="AC30" s="56" t="str">
        <x:f>IF(AD30="","",IF(AD30&gt;=8,"Crítico",IF(AD30&gt;=5,"Alto",IF(AD30&gt;=3,"Moderado","Baixo"))))</x:f>
      </x:c>
      <x:c r="AD30" s="56" t="str">
        <x:f>IF(A30="","",IF(I30&gt;=70,3,IF(I30&gt;=50,2,IF(I30&gt;0,1,0)))+IF(K30="P1",2,0)+IF(M30="Sim",2,0)+IF(OR(L30="IOT",L30="TQT"),2,0)+IF(OR(V30="LRA KDIGO 3",V30="HD",V30="CRRT"),2,0)+IF(T30&gt;7,1,0)+IF(Y30="Sim",2,0))</x:f>
      </x:c>
    </x:row>
    <x:row r="31">
      <x:c r="A31" s="56" t="str"/>
      <x:c r="B31" s="56" t="str"/>
      <x:c r="C31" s="56" t="str"/>
      <x:c r="D31" s="60" t="str"/>
      <x:c r="E31" s="60" t="str"/>
      <x:c r="F31" s="56" t="str">
        <x:f>IF(E31="","",TODAY()-E31+1)</x:f>
      </x:c>
      <x:c r="G31" s="56" t="str"/>
      <x:c r="H31" s="56" t="str"/>
      <x:c r="I31" s="56" t="str"/>
      <x:c r="J31" s="62" t="str"/>
      <x:c r="K31" s="56" t="str"/>
      <x:c r="L31" s="56" t="str"/>
      <x:c r="M31" s="56" t="str"/>
      <x:c r="N31" s="56" t="str"/>
      <x:c r="O31" s="56" t="str"/>
      <x:c r="P31" s="56" t="str"/>
      <x:c r="Q31" s="56" t="str"/>
      <x:c r="R31" s="56" t="str"/>
      <x:c r="S31" s="60" t="str"/>
      <x:c r="T31" s="56" t="str">
        <x:f>IF(S31="","",TODAY()-S31+1)</x:f>
      </x:c>
      <x:c r="U31" s="56" t="str"/>
      <x:c r="V31" s="56" t="str"/>
      <x:c r="W31" s="56" t="str"/>
      <x:c r="X31" s="56" t="str"/>
      <x:c r="Y31" s="56" t="str"/>
      <x:c r="Z31" s="56" t="str"/>
      <x:c r="AA31" s="56" t="str"/>
      <x:c r="AB31" s="56" t="str"/>
      <x:c r="AC31" s="56" t="str">
        <x:f>IF(AD31="","",IF(AD31&gt;=8,"Crítico",IF(AD31&gt;=5,"Alto",IF(AD31&gt;=3,"Moderado","Baixo"))))</x:f>
      </x:c>
      <x:c r="AD31" s="56" t="str">
        <x:f>IF(A31="","",IF(I31&gt;=70,3,IF(I31&gt;=50,2,IF(I31&gt;0,1,0)))+IF(K31="P1",2,0)+IF(M31="Sim",2,0)+IF(OR(L31="IOT",L31="TQT"),2,0)+IF(OR(V31="LRA KDIGO 3",V31="HD",V31="CRRT"),2,0)+IF(T31&gt;7,1,0)+IF(Y31="Sim",2,0))</x:f>
      </x:c>
    </x:row>
    <x:row r="32">
      <x:c r="A32" s="56" t="str"/>
      <x:c r="B32" s="56" t="str"/>
      <x:c r="C32" s="56" t="str"/>
      <x:c r="D32" s="60" t="str"/>
      <x:c r="E32" s="60" t="str"/>
      <x:c r="F32" s="56" t="str">
        <x:f>IF(E32="","",TODAY()-E32+1)</x:f>
      </x:c>
      <x:c r="G32" s="56" t="str"/>
      <x:c r="H32" s="56" t="str"/>
      <x:c r="I32" s="56" t="str"/>
      <x:c r="J32" s="62" t="str"/>
      <x:c r="K32" s="56" t="str"/>
      <x:c r="L32" s="56" t="str"/>
      <x:c r="M32" s="56" t="str"/>
      <x:c r="N32" s="56" t="str"/>
      <x:c r="O32" s="56" t="str"/>
      <x:c r="P32" s="56" t="str"/>
      <x:c r="Q32" s="56" t="str"/>
      <x:c r="R32" s="56" t="str"/>
      <x:c r="S32" s="60" t="str"/>
      <x:c r="T32" s="56" t="str">
        <x:f>IF(S32="","",TODAY()-S32+1)</x:f>
      </x:c>
      <x:c r="U32" s="56" t="str"/>
      <x:c r="V32" s="56" t="str"/>
      <x:c r="W32" s="56" t="str"/>
      <x:c r="X32" s="56" t="str"/>
      <x:c r="Y32" s="56" t="str"/>
      <x:c r="Z32" s="56" t="str"/>
      <x:c r="AA32" s="56" t="str"/>
      <x:c r="AB32" s="56" t="str"/>
      <x:c r="AC32" s="56" t="str">
        <x:f>IF(AD32="","",IF(AD32&gt;=8,"Crítico",IF(AD32&gt;=5,"Alto",IF(AD32&gt;=3,"Moderado","Baixo"))))</x:f>
      </x:c>
      <x:c r="AD32" s="56" t="str">
        <x:f>IF(A32="","",IF(I32&gt;=70,3,IF(I32&gt;=50,2,IF(I32&gt;0,1,0)))+IF(K32="P1",2,0)+IF(M32="Sim",2,0)+IF(OR(L32="IOT",L32="TQT"),2,0)+IF(OR(V32="LRA KDIGO 3",V32="HD",V32="CRRT"),2,0)+IF(T32&gt;7,1,0)+IF(Y32="Sim",2,0))</x:f>
      </x:c>
    </x:row>
    <x:row r="33">
      <x:c r="A33" s="56" t="str"/>
      <x:c r="B33" s="56" t="str"/>
      <x:c r="C33" s="56" t="str"/>
      <x:c r="D33" s="60" t="str"/>
      <x:c r="E33" s="60" t="str"/>
      <x:c r="F33" s="56" t="str">
        <x:f>IF(E33="","",TODAY()-E33+1)</x:f>
      </x:c>
      <x:c r="G33" s="56" t="str"/>
      <x:c r="H33" s="56" t="str"/>
      <x:c r="I33" s="56" t="str"/>
      <x:c r="J33" s="62" t="str"/>
      <x:c r="K33" s="56" t="str"/>
      <x:c r="L33" s="56" t="str"/>
      <x:c r="M33" s="56" t="str"/>
      <x:c r="N33" s="56" t="str"/>
      <x:c r="O33" s="56" t="str"/>
      <x:c r="P33" s="56" t="str"/>
      <x:c r="Q33" s="56" t="str"/>
      <x:c r="R33" s="56" t="str"/>
      <x:c r="S33" s="60" t="str"/>
      <x:c r="T33" s="56" t="str">
        <x:f>IF(S33="","",TODAY()-S33+1)</x:f>
      </x:c>
      <x:c r="U33" s="56" t="str"/>
      <x:c r="V33" s="56" t="str"/>
      <x:c r="W33" s="56" t="str"/>
      <x:c r="X33" s="56" t="str"/>
      <x:c r="Y33" s="56" t="str"/>
      <x:c r="Z33" s="56" t="str"/>
      <x:c r="AA33" s="56" t="str"/>
      <x:c r="AB33" s="56" t="str"/>
      <x:c r="AC33" s="56" t="str">
        <x:f>IF(AD33="","",IF(AD33&gt;=8,"Crítico",IF(AD33&gt;=5,"Alto",IF(AD33&gt;=3,"Moderado","Baixo"))))</x:f>
      </x:c>
      <x:c r="AD33" s="56" t="str">
        <x:f>IF(A33="","",IF(I33&gt;=70,3,IF(I33&gt;=50,2,IF(I33&gt;0,1,0)))+IF(K33="P1",2,0)+IF(M33="Sim",2,0)+IF(OR(L33="IOT",L33="TQT"),2,0)+IF(OR(V33="LRA KDIGO 3",V33="HD",V33="CRRT"),2,0)+IF(T33&gt;7,1,0)+IF(Y33="Sim",2,0))</x:f>
      </x:c>
    </x:row>
    <x:row r="34">
      <x:c r="A34" s="56" t="str"/>
      <x:c r="B34" s="56" t="str"/>
      <x:c r="C34" s="56" t="str"/>
      <x:c r="D34" s="60" t="str"/>
      <x:c r="E34" s="60" t="str"/>
      <x:c r="F34" s="56" t="str">
        <x:f>IF(E34="","",TODAY()-E34+1)</x:f>
      </x:c>
      <x:c r="G34" s="56" t="str"/>
      <x:c r="H34" s="56" t="str"/>
      <x:c r="I34" s="56" t="str"/>
      <x:c r="J34" s="62" t="str"/>
      <x:c r="K34" s="56" t="str"/>
      <x:c r="L34" s="56" t="str"/>
      <x:c r="M34" s="56" t="str"/>
      <x:c r="N34" s="56" t="str"/>
      <x:c r="O34" s="56" t="str"/>
      <x:c r="P34" s="56" t="str"/>
      <x:c r="Q34" s="56" t="str"/>
      <x:c r="R34" s="56" t="str"/>
      <x:c r="S34" s="60" t="str"/>
      <x:c r="T34" s="56" t="str">
        <x:f>IF(S34="","",TODAY()-S34+1)</x:f>
      </x:c>
      <x:c r="U34" s="56" t="str"/>
      <x:c r="V34" s="56" t="str"/>
      <x:c r="W34" s="56" t="str"/>
      <x:c r="X34" s="56" t="str"/>
      <x:c r="Y34" s="56" t="str"/>
      <x:c r="Z34" s="56" t="str"/>
      <x:c r="AA34" s="56" t="str"/>
      <x:c r="AB34" s="56" t="str"/>
      <x:c r="AC34" s="56" t="str">
        <x:f>IF(AD34="","",IF(AD34&gt;=8,"Crítico",IF(AD34&gt;=5,"Alto",IF(AD34&gt;=3,"Moderado","Baixo"))))</x:f>
      </x:c>
      <x:c r="AD34" s="56" t="str">
        <x:f>IF(A34="","",IF(I34&gt;=70,3,IF(I34&gt;=50,2,IF(I34&gt;0,1,0)))+IF(K34="P1",2,0)+IF(M34="Sim",2,0)+IF(OR(L34="IOT",L34="TQT"),2,0)+IF(OR(V34="LRA KDIGO 3",V34="HD",V34="CRRT"),2,0)+IF(T34&gt;7,1,0)+IF(Y34="Sim",2,0))</x:f>
      </x:c>
    </x:row>
    <x:row r="35">
      <x:c r="A35" s="56" t="str"/>
      <x:c r="B35" s="56" t="str"/>
      <x:c r="C35" s="56" t="str"/>
      <x:c r="D35" s="60" t="str"/>
      <x:c r="E35" s="60" t="str"/>
      <x:c r="F35" s="56" t="str">
        <x:f>IF(E35="","",TODAY()-E35+1)</x:f>
      </x:c>
      <x:c r="G35" s="56" t="str"/>
      <x:c r="H35" s="56" t="str"/>
      <x:c r="I35" s="56" t="str"/>
      <x:c r="J35" s="62" t="str"/>
      <x:c r="K35" s="56" t="str"/>
      <x:c r="L35" s="56" t="str"/>
      <x:c r="M35" s="56" t="str"/>
      <x:c r="N35" s="56" t="str"/>
      <x:c r="O35" s="56" t="str"/>
      <x:c r="P35" s="56" t="str"/>
      <x:c r="Q35" s="56" t="str"/>
      <x:c r="R35" s="56" t="str"/>
      <x:c r="S35" s="60" t="str"/>
      <x:c r="T35" s="56" t="str">
        <x:f>IF(S35="","",TODAY()-S35+1)</x:f>
      </x:c>
      <x:c r="U35" s="56" t="str"/>
      <x:c r="V35" s="56" t="str"/>
      <x:c r="W35" s="56" t="str"/>
      <x:c r="X35" s="56" t="str"/>
      <x:c r="Y35" s="56" t="str"/>
      <x:c r="Z35" s="56" t="str"/>
      <x:c r="AA35" s="56" t="str"/>
      <x:c r="AB35" s="56" t="str"/>
      <x:c r="AC35" s="56" t="str">
        <x:f>IF(AD35="","",IF(AD35&gt;=8,"Crítico",IF(AD35&gt;=5,"Alto",IF(AD35&gt;=3,"Moderado","Baixo"))))</x:f>
      </x:c>
      <x:c r="AD35" s="56" t="str">
        <x:f>IF(A35="","",IF(I35&gt;=70,3,IF(I35&gt;=50,2,IF(I35&gt;0,1,0)))+IF(K35="P1",2,0)+IF(M35="Sim",2,0)+IF(OR(L35="IOT",L35="TQT"),2,0)+IF(OR(V35="LRA KDIGO 3",V35="HD",V35="CRRT"),2,0)+IF(T35&gt;7,1,0)+IF(Y35="Sim",2,0))</x:f>
      </x:c>
    </x:row>
    <x:row r="36">
      <x:c r="A36" s="56" t="str"/>
      <x:c r="B36" s="56" t="str"/>
      <x:c r="C36" s="56" t="str"/>
      <x:c r="D36" s="60" t="str"/>
      <x:c r="E36" s="60" t="str"/>
      <x:c r="F36" s="56" t="str">
        <x:f>IF(E36="","",TODAY()-E36+1)</x:f>
      </x:c>
      <x:c r="G36" s="56" t="str"/>
      <x:c r="H36" s="56" t="str"/>
      <x:c r="I36" s="56" t="str"/>
      <x:c r="J36" s="62" t="str"/>
      <x:c r="K36" s="56" t="str"/>
      <x:c r="L36" s="56" t="str"/>
      <x:c r="M36" s="56" t="str"/>
      <x:c r="N36" s="56" t="str"/>
      <x:c r="O36" s="56" t="str"/>
      <x:c r="P36" s="56" t="str"/>
      <x:c r="Q36" s="56" t="str"/>
      <x:c r="R36" s="56" t="str"/>
      <x:c r="S36" s="60" t="str"/>
      <x:c r="T36" s="56" t="str">
        <x:f>IF(S36="","",TODAY()-S36+1)</x:f>
      </x:c>
      <x:c r="U36" s="56" t="str"/>
      <x:c r="V36" s="56" t="str"/>
      <x:c r="W36" s="56" t="str"/>
      <x:c r="X36" s="56" t="str"/>
      <x:c r="Y36" s="56" t="str"/>
      <x:c r="Z36" s="56" t="str"/>
      <x:c r="AA36" s="56" t="str"/>
      <x:c r="AB36" s="56" t="str"/>
      <x:c r="AC36" s="56" t="str">
        <x:f>IF(AD36="","",IF(AD36&gt;=8,"Crítico",IF(AD36&gt;=5,"Alto",IF(AD36&gt;=3,"Moderado","Baixo"))))</x:f>
      </x:c>
      <x:c r="AD36" s="56" t="str">
        <x:f>IF(A36="","",IF(I36&gt;=70,3,IF(I36&gt;=50,2,IF(I36&gt;0,1,0)))+IF(K36="P1",2,0)+IF(M36="Sim",2,0)+IF(OR(L36="IOT",L36="TQT"),2,0)+IF(OR(V36="LRA KDIGO 3",V36="HD",V36="CRRT"),2,0)+IF(T36&gt;7,1,0)+IF(Y36="Sim",2,0))</x:f>
      </x:c>
    </x:row>
    <x:row r="37">
      <x:c r="A37" s="56" t="str"/>
      <x:c r="B37" s="56" t="str"/>
      <x:c r="C37" s="56" t="str"/>
      <x:c r="D37" s="60" t="str"/>
      <x:c r="E37" s="60" t="str"/>
      <x:c r="F37" s="56" t="str">
        <x:f>IF(E37="","",TODAY()-E37+1)</x:f>
      </x:c>
      <x:c r="G37" s="56" t="str"/>
      <x:c r="H37" s="56" t="str"/>
      <x:c r="I37" s="56" t="str"/>
      <x:c r="J37" s="62" t="str"/>
      <x:c r="K37" s="56" t="str"/>
      <x:c r="L37" s="56" t="str"/>
      <x:c r="M37" s="56" t="str"/>
      <x:c r="N37" s="56" t="str"/>
      <x:c r="O37" s="56" t="str"/>
      <x:c r="P37" s="56" t="str"/>
      <x:c r="Q37" s="56" t="str"/>
      <x:c r="R37" s="56" t="str"/>
      <x:c r="S37" s="60" t="str"/>
      <x:c r="T37" s="56" t="str">
        <x:f>IF(S37="","",TODAY()-S37+1)</x:f>
      </x:c>
      <x:c r="U37" s="56" t="str"/>
      <x:c r="V37" s="56" t="str"/>
      <x:c r="W37" s="56" t="str"/>
      <x:c r="X37" s="56" t="str"/>
      <x:c r="Y37" s="56" t="str"/>
      <x:c r="Z37" s="56" t="str"/>
      <x:c r="AA37" s="56" t="str"/>
      <x:c r="AB37" s="56" t="str"/>
      <x:c r="AC37" s="56" t="str">
        <x:f>IF(AD37="","",IF(AD37&gt;=8,"Crítico",IF(AD37&gt;=5,"Alto",IF(AD37&gt;=3,"Moderado","Baixo"))))</x:f>
      </x:c>
      <x:c r="AD37" s="56" t="str">
        <x:f>IF(A37="","",IF(I37&gt;=70,3,IF(I37&gt;=50,2,IF(I37&gt;0,1,0)))+IF(K37="P1",2,0)+IF(M37="Sim",2,0)+IF(OR(L37="IOT",L37="TQT"),2,0)+IF(OR(V37="LRA KDIGO 3",V37="HD",V37="CRRT"),2,0)+IF(T37&gt;7,1,0)+IF(Y37="Sim",2,0))</x:f>
      </x:c>
    </x:row>
    <x:row r="38">
      <x:c r="A38" s="56" t="str"/>
      <x:c r="B38" s="56" t="str"/>
      <x:c r="C38" s="56" t="str"/>
      <x:c r="D38" s="60" t="str"/>
      <x:c r="E38" s="60" t="str"/>
      <x:c r="F38" s="56" t="str">
        <x:f>IF(E38="","",TODAY()-E38+1)</x:f>
      </x:c>
      <x:c r="G38" s="56" t="str"/>
      <x:c r="H38" s="56" t="str"/>
      <x:c r="I38" s="56" t="str"/>
      <x:c r="J38" s="62" t="str"/>
      <x:c r="K38" s="56" t="str"/>
      <x:c r="L38" s="56" t="str"/>
      <x:c r="M38" s="56" t="str"/>
      <x:c r="N38" s="56" t="str"/>
      <x:c r="O38" s="56" t="str"/>
      <x:c r="P38" s="56" t="str"/>
      <x:c r="Q38" s="56" t="str"/>
      <x:c r="R38" s="56" t="str"/>
      <x:c r="S38" s="60" t="str"/>
      <x:c r="T38" s="56" t="str">
        <x:f>IF(S38="","",TODAY()-S38+1)</x:f>
      </x:c>
      <x:c r="U38" s="56" t="str"/>
      <x:c r="V38" s="56" t="str"/>
      <x:c r="W38" s="56" t="str"/>
      <x:c r="X38" s="56" t="str"/>
      <x:c r="Y38" s="56" t="str"/>
      <x:c r="Z38" s="56" t="str"/>
      <x:c r="AA38" s="56" t="str"/>
      <x:c r="AB38" s="56" t="str"/>
      <x:c r="AC38" s="56" t="str">
        <x:f>IF(AD38="","",IF(AD38&gt;=8,"Crítico",IF(AD38&gt;=5,"Alto",IF(AD38&gt;=3,"Moderado","Baixo"))))</x:f>
      </x:c>
      <x:c r="AD38" s="56" t="str">
        <x:f>IF(A38="","",IF(I38&gt;=70,3,IF(I38&gt;=50,2,IF(I38&gt;0,1,0)))+IF(K38="P1",2,0)+IF(M38="Sim",2,0)+IF(OR(L38="IOT",L38="TQT"),2,0)+IF(OR(V38="LRA KDIGO 3",V38="HD",V38="CRRT"),2,0)+IF(T38&gt;7,1,0)+IF(Y38="Sim",2,0))</x:f>
      </x:c>
    </x:row>
    <x:row r="39">
      <x:c r="A39" s="56" t="str"/>
      <x:c r="B39" s="56" t="str"/>
      <x:c r="C39" s="56" t="str"/>
      <x:c r="D39" s="60" t="str"/>
      <x:c r="E39" s="60" t="str"/>
      <x:c r="F39" s="56" t="str">
        <x:f>IF(E39="","",TODAY()-E39+1)</x:f>
      </x:c>
      <x:c r="G39" s="56" t="str"/>
      <x:c r="H39" s="56" t="str"/>
      <x:c r="I39" s="56" t="str"/>
      <x:c r="J39" s="62" t="str"/>
      <x:c r="K39" s="56" t="str"/>
      <x:c r="L39" s="56" t="str"/>
      <x:c r="M39" s="56" t="str"/>
      <x:c r="N39" s="56" t="str"/>
      <x:c r="O39" s="56" t="str"/>
      <x:c r="P39" s="56" t="str"/>
      <x:c r="Q39" s="56" t="str"/>
      <x:c r="R39" s="56" t="str"/>
      <x:c r="S39" s="60" t="str"/>
      <x:c r="T39" s="56" t="str">
        <x:f>IF(S39="","",TODAY()-S39+1)</x:f>
      </x:c>
      <x:c r="U39" s="56" t="str"/>
      <x:c r="V39" s="56" t="str"/>
      <x:c r="W39" s="56" t="str"/>
      <x:c r="X39" s="56" t="str"/>
      <x:c r="Y39" s="56" t="str"/>
      <x:c r="Z39" s="56" t="str"/>
      <x:c r="AA39" s="56" t="str"/>
      <x:c r="AB39" s="56" t="str"/>
      <x:c r="AC39" s="56" t="str">
        <x:f>IF(AD39="","",IF(AD39&gt;=8,"Crítico",IF(AD39&gt;=5,"Alto",IF(AD39&gt;=3,"Moderado","Baixo"))))</x:f>
      </x:c>
      <x:c r="AD39" s="56" t="str">
        <x:f>IF(A39="","",IF(I39&gt;=70,3,IF(I39&gt;=50,2,IF(I39&gt;0,1,0)))+IF(K39="P1",2,0)+IF(M39="Sim",2,0)+IF(OR(L39="IOT",L39="TQT"),2,0)+IF(OR(V39="LRA KDIGO 3",V39="HD",V39="CRRT"),2,0)+IF(T39&gt;7,1,0)+IF(Y39="Sim",2,0))</x:f>
      </x:c>
    </x:row>
    <x:row r="40">
      <x:c r="A40" s="56" t="str"/>
      <x:c r="B40" s="56" t="str"/>
      <x:c r="C40" s="56" t="str"/>
      <x:c r="D40" s="60" t="str"/>
      <x:c r="E40" s="60" t="str"/>
      <x:c r="F40" s="56" t="str">
        <x:f>IF(E40="","",TODAY()-E40+1)</x:f>
      </x:c>
      <x:c r="G40" s="56" t="str"/>
      <x:c r="H40" s="56" t="str"/>
      <x:c r="I40" s="56" t="str"/>
      <x:c r="J40" s="62" t="str"/>
      <x:c r="K40" s="56" t="str"/>
      <x:c r="L40" s="56" t="str"/>
      <x:c r="M40" s="56" t="str"/>
      <x:c r="N40" s="56" t="str"/>
      <x:c r="O40" s="56" t="str"/>
      <x:c r="P40" s="56" t="str"/>
      <x:c r="Q40" s="56" t="str"/>
      <x:c r="R40" s="56" t="str"/>
      <x:c r="S40" s="60" t="str"/>
      <x:c r="T40" s="56" t="str">
        <x:f>IF(S40="","",TODAY()-S40+1)</x:f>
      </x:c>
      <x:c r="U40" s="56" t="str"/>
      <x:c r="V40" s="56" t="str"/>
      <x:c r="W40" s="56" t="str"/>
      <x:c r="X40" s="56" t="str"/>
      <x:c r="Y40" s="56" t="str"/>
      <x:c r="Z40" s="56" t="str"/>
      <x:c r="AA40" s="56" t="str"/>
      <x:c r="AB40" s="56" t="str"/>
      <x:c r="AC40" s="56" t="str">
        <x:f>IF(AD40="","",IF(AD40&gt;=8,"Crítico",IF(AD40&gt;=5,"Alto",IF(AD40&gt;=3,"Moderado","Baixo"))))</x:f>
      </x:c>
      <x:c r="AD40" s="56" t="str">
        <x:f>IF(A40="","",IF(I40&gt;=70,3,IF(I40&gt;=50,2,IF(I40&gt;0,1,0)))+IF(K40="P1",2,0)+IF(M40="Sim",2,0)+IF(OR(L40="IOT",L40="TQT"),2,0)+IF(OR(V40="LRA KDIGO 3",V40="HD",V40="CRRT"),2,0)+IF(T40&gt;7,1,0)+IF(Y40="Sim",2,0))</x:f>
      </x:c>
    </x:row>
    <x:row r="41">
      <x:c r="A41" s="56" t="str"/>
      <x:c r="B41" s="56" t="str"/>
      <x:c r="C41" s="56" t="str"/>
      <x:c r="D41" s="60" t="str"/>
      <x:c r="E41" s="60" t="str"/>
      <x:c r="F41" s="56" t="str">
        <x:f>IF(E41="","",TODAY()-E41+1)</x:f>
      </x:c>
      <x:c r="G41" s="56" t="str"/>
      <x:c r="H41" s="56" t="str"/>
      <x:c r="I41" s="56" t="str"/>
      <x:c r="J41" s="62" t="str"/>
      <x:c r="K41" s="56" t="str"/>
      <x:c r="L41" s="56" t="str"/>
      <x:c r="M41" s="56" t="str"/>
      <x:c r="N41" s="56" t="str"/>
      <x:c r="O41" s="56" t="str"/>
      <x:c r="P41" s="56" t="str"/>
      <x:c r="Q41" s="56" t="str"/>
      <x:c r="R41" s="56" t="str"/>
      <x:c r="S41" s="60" t="str"/>
      <x:c r="T41" s="56" t="str">
        <x:f>IF(S41="","",TODAY()-S41+1)</x:f>
      </x:c>
      <x:c r="U41" s="56" t="str"/>
      <x:c r="V41" s="56" t="str"/>
      <x:c r="W41" s="56" t="str"/>
      <x:c r="X41" s="56" t="str"/>
      <x:c r="Y41" s="56" t="str"/>
      <x:c r="Z41" s="56" t="str"/>
      <x:c r="AA41" s="56" t="str"/>
      <x:c r="AB41" s="56" t="str"/>
      <x:c r="AC41" s="56" t="str">
        <x:f>IF(AD41="","",IF(AD41&gt;=8,"Crítico",IF(AD41&gt;=5,"Alto",IF(AD41&gt;=3,"Moderado","Baixo"))))</x:f>
      </x:c>
      <x:c r="AD41" s="56" t="str">
        <x:f>IF(A41="","",IF(I41&gt;=70,3,IF(I41&gt;=50,2,IF(I41&gt;0,1,0)))+IF(K41="P1",2,0)+IF(M41="Sim",2,0)+IF(OR(L41="IOT",L41="TQT"),2,0)+IF(OR(V41="LRA KDIGO 3",V41="HD",V41="CRRT"),2,0)+IF(T41&gt;7,1,0)+IF(Y41="Sim",2,0))</x:f>
      </x:c>
    </x:row>
    <x:row r="42">
      <x:c r="A42" s="56" t="str"/>
      <x:c r="B42" s="56" t="str"/>
      <x:c r="C42" s="56" t="str"/>
      <x:c r="D42" s="60" t="str"/>
      <x:c r="E42" s="60" t="str"/>
      <x:c r="F42" s="56" t="str">
        <x:f>IF(E42="","",TODAY()-E42+1)</x:f>
      </x:c>
      <x:c r="G42" s="56" t="str"/>
      <x:c r="H42" s="56" t="str"/>
      <x:c r="I42" s="56" t="str"/>
      <x:c r="J42" s="62" t="str"/>
      <x:c r="K42" s="56" t="str"/>
      <x:c r="L42" s="56" t="str"/>
      <x:c r="M42" s="56" t="str"/>
      <x:c r="N42" s="56" t="str"/>
      <x:c r="O42" s="56" t="str"/>
      <x:c r="P42" s="56" t="str"/>
      <x:c r="Q42" s="56" t="str"/>
      <x:c r="R42" s="56" t="str"/>
      <x:c r="S42" s="60" t="str"/>
      <x:c r="T42" s="56" t="str">
        <x:f>IF(S42="","",TODAY()-S42+1)</x:f>
      </x:c>
      <x:c r="U42" s="56" t="str"/>
      <x:c r="V42" s="56" t="str"/>
      <x:c r="W42" s="56" t="str"/>
      <x:c r="X42" s="56" t="str"/>
      <x:c r="Y42" s="56" t="str"/>
      <x:c r="Z42" s="56" t="str"/>
      <x:c r="AA42" s="56" t="str"/>
      <x:c r="AB42" s="56" t="str"/>
      <x:c r="AC42" s="56" t="str">
        <x:f>IF(AD42="","",IF(AD42&gt;=8,"Crítico",IF(AD42&gt;=5,"Alto",IF(AD42&gt;=3,"Moderado","Baixo"))))</x:f>
      </x:c>
      <x:c r="AD42" s="56" t="str">
        <x:f>IF(A42="","",IF(I42&gt;=70,3,IF(I42&gt;=50,2,IF(I42&gt;0,1,0)))+IF(K42="P1",2,0)+IF(M42="Sim",2,0)+IF(OR(L42="IOT",L42="TQT"),2,0)+IF(OR(V42="LRA KDIGO 3",V42="HD",V42="CRRT"),2,0)+IF(T42&gt;7,1,0)+IF(Y42="Sim",2,0))</x:f>
      </x:c>
    </x:row>
    <x:row r="43">
      <x:c r="A43" s="56" t="str"/>
      <x:c r="B43" s="56" t="str"/>
      <x:c r="C43" s="56" t="str"/>
      <x:c r="D43" s="60" t="str"/>
      <x:c r="E43" s="60" t="str"/>
      <x:c r="F43" s="56" t="str">
        <x:f>IF(E43="","",TODAY()-E43+1)</x:f>
      </x:c>
      <x:c r="G43" s="56" t="str"/>
      <x:c r="H43" s="56" t="str"/>
      <x:c r="I43" s="56" t="str"/>
      <x:c r="J43" s="62" t="str"/>
      <x:c r="K43" s="56" t="str"/>
      <x:c r="L43" s="56" t="str"/>
      <x:c r="M43" s="56" t="str"/>
      <x:c r="N43" s="56" t="str"/>
      <x:c r="O43" s="56" t="str"/>
      <x:c r="P43" s="56" t="str"/>
      <x:c r="Q43" s="56" t="str"/>
      <x:c r="R43" s="56" t="str"/>
      <x:c r="S43" s="60" t="str"/>
      <x:c r="T43" s="56" t="str">
        <x:f>IF(S43="","",TODAY()-S43+1)</x:f>
      </x:c>
      <x:c r="U43" s="56" t="str"/>
      <x:c r="V43" s="56" t="str"/>
      <x:c r="W43" s="56" t="str"/>
      <x:c r="X43" s="56" t="str"/>
      <x:c r="Y43" s="56" t="str"/>
      <x:c r="Z43" s="56" t="str"/>
      <x:c r="AA43" s="56" t="str"/>
      <x:c r="AB43" s="56" t="str"/>
      <x:c r="AC43" s="56" t="str">
        <x:f>IF(AD43="","",IF(AD43&gt;=8,"Crítico",IF(AD43&gt;=5,"Alto",IF(AD43&gt;=3,"Moderado","Baixo"))))</x:f>
      </x:c>
      <x:c r="AD43" s="56" t="str">
        <x:f>IF(A43="","",IF(I43&gt;=70,3,IF(I43&gt;=50,2,IF(I43&gt;0,1,0)))+IF(K43="P1",2,0)+IF(M43="Sim",2,0)+IF(OR(L43="IOT",L43="TQT"),2,0)+IF(OR(V43="LRA KDIGO 3",V43="HD",V43="CRRT"),2,0)+IF(T43&gt;7,1,0)+IF(Y43="Sim",2,0))</x:f>
      </x:c>
    </x:row>
    <x:row r="44">
      <x:c r="A44" s="56" t="str"/>
      <x:c r="B44" s="56" t="str"/>
      <x:c r="C44" s="56" t="str"/>
      <x:c r="D44" s="60" t="str"/>
      <x:c r="E44" s="60" t="str"/>
      <x:c r="F44" s="56" t="str">
        <x:f>IF(E44="","",TODAY()-E44+1)</x:f>
      </x:c>
      <x:c r="G44" s="56" t="str"/>
      <x:c r="H44" s="56" t="str"/>
      <x:c r="I44" s="56" t="str"/>
      <x:c r="J44" s="62" t="str"/>
      <x:c r="K44" s="56" t="str"/>
      <x:c r="L44" s="56" t="str"/>
      <x:c r="M44" s="56" t="str"/>
      <x:c r="N44" s="56" t="str"/>
      <x:c r="O44" s="56" t="str"/>
      <x:c r="P44" s="56" t="str"/>
      <x:c r="Q44" s="56" t="str"/>
      <x:c r="R44" s="56" t="str"/>
      <x:c r="S44" s="60" t="str"/>
      <x:c r="T44" s="56" t="str">
        <x:f>IF(S44="","",TODAY()-S44+1)</x:f>
      </x:c>
      <x:c r="U44" s="56" t="str"/>
      <x:c r="V44" s="56" t="str"/>
      <x:c r="W44" s="56" t="str"/>
      <x:c r="X44" s="56" t="str"/>
      <x:c r="Y44" s="56" t="str"/>
      <x:c r="Z44" s="56" t="str"/>
      <x:c r="AA44" s="56" t="str"/>
      <x:c r="AB44" s="56" t="str"/>
      <x:c r="AC44" s="56" t="str">
        <x:f>IF(AD44="","",IF(AD44&gt;=8,"Crítico",IF(AD44&gt;=5,"Alto",IF(AD44&gt;=3,"Moderado","Baixo"))))</x:f>
      </x:c>
      <x:c r="AD44" s="56" t="str">
        <x:f>IF(A44="","",IF(I44&gt;=70,3,IF(I44&gt;=50,2,IF(I44&gt;0,1,0)))+IF(K44="P1",2,0)+IF(M44="Sim",2,0)+IF(OR(L44="IOT",L44="TQT"),2,0)+IF(OR(V44="LRA KDIGO 3",V44="HD",V44="CRRT"),2,0)+IF(T44&gt;7,1,0)+IF(Y44="Sim",2,0))</x:f>
      </x:c>
    </x:row>
    <x:row r="45">
      <x:c r="A45" s="56" t="str"/>
      <x:c r="B45" s="56" t="str"/>
      <x:c r="C45" s="56" t="str"/>
      <x:c r="D45" s="60" t="str"/>
      <x:c r="E45" s="60" t="str"/>
      <x:c r="F45" s="56" t="str">
        <x:f>IF(E45="","",TODAY()-E45+1)</x:f>
      </x:c>
      <x:c r="G45" s="56" t="str"/>
      <x:c r="H45" s="56" t="str"/>
      <x:c r="I45" s="56" t="str"/>
      <x:c r="J45" s="62" t="str"/>
      <x:c r="K45" s="56" t="str"/>
      <x:c r="L45" s="56" t="str"/>
      <x:c r="M45" s="56" t="str"/>
      <x:c r="N45" s="56" t="str"/>
      <x:c r="O45" s="56" t="str"/>
      <x:c r="P45" s="56" t="str"/>
      <x:c r="Q45" s="56" t="str"/>
      <x:c r="R45" s="56" t="str"/>
      <x:c r="S45" s="60" t="str"/>
      <x:c r="T45" s="56" t="str">
        <x:f>IF(S45="","",TODAY()-S45+1)</x:f>
      </x:c>
      <x:c r="U45" s="56" t="str"/>
      <x:c r="V45" s="56" t="str"/>
      <x:c r="W45" s="56" t="str"/>
      <x:c r="X45" s="56" t="str"/>
      <x:c r="Y45" s="56" t="str"/>
      <x:c r="Z45" s="56" t="str"/>
      <x:c r="AA45" s="56" t="str"/>
      <x:c r="AB45" s="56" t="str"/>
      <x:c r="AC45" s="56" t="str">
        <x:f>IF(AD45="","",IF(AD45&gt;=8,"Crítico",IF(AD45&gt;=5,"Alto",IF(AD45&gt;=3,"Moderado","Baixo"))))</x:f>
      </x:c>
      <x:c r="AD45" s="56" t="str">
        <x:f>IF(A45="","",IF(I45&gt;=70,3,IF(I45&gt;=50,2,IF(I45&gt;0,1,0)))+IF(K45="P1",2,0)+IF(M45="Sim",2,0)+IF(OR(L45="IOT",L45="TQT"),2,0)+IF(OR(V45="LRA KDIGO 3",V45="HD",V45="CRRT"),2,0)+IF(T45&gt;7,1,0)+IF(Y45="Sim",2,0))</x:f>
      </x:c>
    </x:row>
    <x:row r="46">
      <x:c r="A46" s="56" t="str"/>
      <x:c r="B46" s="56" t="str"/>
      <x:c r="C46" s="56" t="str"/>
      <x:c r="D46" s="60" t="str"/>
      <x:c r="E46" s="60" t="str"/>
      <x:c r="F46" s="56" t="str">
        <x:f>IF(E46="","",TODAY()-E46+1)</x:f>
      </x:c>
      <x:c r="G46" s="56" t="str"/>
      <x:c r="H46" s="56" t="str"/>
      <x:c r="I46" s="56" t="str"/>
      <x:c r="J46" s="62" t="str"/>
      <x:c r="K46" s="56" t="str"/>
      <x:c r="L46" s="56" t="str"/>
      <x:c r="M46" s="56" t="str"/>
      <x:c r="N46" s="56" t="str"/>
      <x:c r="O46" s="56" t="str"/>
      <x:c r="P46" s="56" t="str"/>
      <x:c r="Q46" s="56" t="str"/>
      <x:c r="R46" s="56" t="str"/>
      <x:c r="S46" s="60" t="str"/>
      <x:c r="T46" s="56" t="str">
        <x:f>IF(S46="","",TODAY()-S46+1)</x:f>
      </x:c>
      <x:c r="U46" s="56" t="str"/>
      <x:c r="V46" s="56" t="str"/>
      <x:c r="W46" s="56" t="str"/>
      <x:c r="X46" s="56" t="str"/>
      <x:c r="Y46" s="56" t="str"/>
      <x:c r="Z46" s="56" t="str"/>
      <x:c r="AA46" s="56" t="str"/>
      <x:c r="AB46" s="56" t="str"/>
      <x:c r="AC46" s="56" t="str">
        <x:f>IF(AD46="","",IF(AD46&gt;=8,"Crítico",IF(AD46&gt;=5,"Alto",IF(AD46&gt;=3,"Moderado","Baixo"))))</x:f>
      </x:c>
      <x:c r="AD46" s="56" t="str">
        <x:f>IF(A46="","",IF(I46&gt;=70,3,IF(I46&gt;=50,2,IF(I46&gt;0,1,0)))+IF(K46="P1",2,0)+IF(M46="Sim",2,0)+IF(OR(L46="IOT",L46="TQT"),2,0)+IF(OR(V46="LRA KDIGO 3",V46="HD",V46="CRRT"),2,0)+IF(T46&gt;7,1,0)+IF(Y46="Sim",2,0))</x:f>
      </x:c>
    </x:row>
    <x:row r="47">
      <x:c r="A47" s="56" t="str"/>
      <x:c r="B47" s="56" t="str"/>
      <x:c r="C47" s="56" t="str"/>
      <x:c r="D47" s="60" t="str"/>
      <x:c r="E47" s="60" t="str"/>
      <x:c r="F47" s="56" t="str">
        <x:f>IF(E47="","",TODAY()-E47+1)</x:f>
      </x:c>
      <x:c r="G47" s="56" t="str"/>
      <x:c r="H47" s="56" t="str"/>
      <x:c r="I47" s="56" t="str"/>
      <x:c r="J47" s="62" t="str"/>
      <x:c r="K47" s="56" t="str"/>
      <x:c r="L47" s="56" t="str"/>
      <x:c r="M47" s="56" t="str"/>
      <x:c r="N47" s="56" t="str"/>
      <x:c r="O47" s="56" t="str"/>
      <x:c r="P47" s="56" t="str"/>
      <x:c r="Q47" s="56" t="str"/>
      <x:c r="R47" s="56" t="str"/>
      <x:c r="S47" s="60" t="str"/>
      <x:c r="T47" s="56" t="str">
        <x:f>IF(S47="","",TODAY()-S47+1)</x:f>
      </x:c>
      <x:c r="U47" s="56" t="str"/>
      <x:c r="V47" s="56" t="str"/>
      <x:c r="W47" s="56" t="str"/>
      <x:c r="X47" s="56" t="str"/>
      <x:c r="Y47" s="56" t="str"/>
      <x:c r="Z47" s="56" t="str"/>
      <x:c r="AA47" s="56" t="str"/>
      <x:c r="AB47" s="56" t="str"/>
      <x:c r="AC47" s="56" t="str">
        <x:f>IF(AD47="","",IF(AD47&gt;=8,"Crítico",IF(AD47&gt;=5,"Alto",IF(AD47&gt;=3,"Moderado","Baixo"))))</x:f>
      </x:c>
      <x:c r="AD47" s="56" t="str">
        <x:f>IF(A47="","",IF(I47&gt;=70,3,IF(I47&gt;=50,2,IF(I47&gt;0,1,0)))+IF(K47="P1",2,0)+IF(M47="Sim",2,0)+IF(OR(L47="IOT",L47="TQT"),2,0)+IF(OR(V47="LRA KDIGO 3",V47="HD",V47="CRRT"),2,0)+IF(T47&gt;7,1,0)+IF(Y47="Sim",2,0))</x:f>
      </x:c>
    </x:row>
    <x:row r="48">
      <x:c r="A48" s="56" t="str"/>
      <x:c r="B48" s="56" t="str"/>
      <x:c r="C48" s="56" t="str"/>
      <x:c r="D48" s="60" t="str"/>
      <x:c r="E48" s="60" t="str"/>
      <x:c r="F48" s="56" t="str">
        <x:f>IF(E48="","",TODAY()-E48+1)</x:f>
      </x:c>
      <x:c r="G48" s="56" t="str"/>
      <x:c r="H48" s="56" t="str"/>
      <x:c r="I48" s="56" t="str"/>
      <x:c r="J48" s="62" t="str"/>
      <x:c r="K48" s="56" t="str"/>
      <x:c r="L48" s="56" t="str"/>
      <x:c r="M48" s="56" t="str"/>
      <x:c r="N48" s="56" t="str"/>
      <x:c r="O48" s="56" t="str"/>
      <x:c r="P48" s="56" t="str"/>
      <x:c r="Q48" s="56" t="str"/>
      <x:c r="R48" s="56" t="str"/>
      <x:c r="S48" s="60" t="str"/>
      <x:c r="T48" s="56" t="str">
        <x:f>IF(S48="","",TODAY()-S48+1)</x:f>
      </x:c>
      <x:c r="U48" s="56" t="str"/>
      <x:c r="V48" s="56" t="str"/>
      <x:c r="W48" s="56" t="str"/>
      <x:c r="X48" s="56" t="str"/>
      <x:c r="Y48" s="56" t="str"/>
      <x:c r="Z48" s="56" t="str"/>
      <x:c r="AA48" s="56" t="str"/>
      <x:c r="AB48" s="56" t="str"/>
      <x:c r="AC48" s="56" t="str">
        <x:f>IF(AD48="","",IF(AD48&gt;=8,"Crítico",IF(AD48&gt;=5,"Alto",IF(AD48&gt;=3,"Moderado","Baixo"))))</x:f>
      </x:c>
      <x:c r="AD48" s="56" t="str">
        <x:f>IF(A48="","",IF(I48&gt;=70,3,IF(I48&gt;=50,2,IF(I48&gt;0,1,0)))+IF(K48="P1",2,0)+IF(M48="Sim",2,0)+IF(OR(L48="IOT",L48="TQT"),2,0)+IF(OR(V48="LRA KDIGO 3",V48="HD",V48="CRRT"),2,0)+IF(T48&gt;7,1,0)+IF(Y48="Sim",2,0))</x:f>
      </x:c>
    </x:row>
    <x:row r="49">
      <x:c r="A49" s="56" t="str"/>
      <x:c r="B49" s="56" t="str"/>
      <x:c r="C49" s="56" t="str"/>
      <x:c r="D49" s="60" t="str"/>
      <x:c r="E49" s="60" t="str"/>
      <x:c r="F49" s="56" t="str">
        <x:f>IF(E49="","",TODAY()-E49+1)</x:f>
      </x:c>
      <x:c r="G49" s="56" t="str"/>
      <x:c r="H49" s="56" t="str"/>
      <x:c r="I49" s="56" t="str"/>
      <x:c r="J49" s="62" t="str"/>
      <x:c r="K49" s="56" t="str"/>
      <x:c r="L49" s="56" t="str"/>
      <x:c r="M49" s="56" t="str"/>
      <x:c r="N49" s="56" t="str"/>
      <x:c r="O49" s="56" t="str"/>
      <x:c r="P49" s="56" t="str"/>
      <x:c r="Q49" s="56" t="str"/>
      <x:c r="R49" s="56" t="str"/>
      <x:c r="S49" s="60" t="str"/>
      <x:c r="T49" s="56" t="str">
        <x:f>IF(S49="","",TODAY()-S49+1)</x:f>
      </x:c>
      <x:c r="U49" s="56" t="str"/>
      <x:c r="V49" s="56" t="str"/>
      <x:c r="W49" s="56" t="str"/>
      <x:c r="X49" s="56" t="str"/>
      <x:c r="Y49" s="56" t="str"/>
      <x:c r="Z49" s="56" t="str"/>
      <x:c r="AA49" s="56" t="str"/>
      <x:c r="AB49" s="56" t="str"/>
      <x:c r="AC49" s="56" t="str">
        <x:f>IF(AD49="","",IF(AD49&gt;=8,"Crítico",IF(AD49&gt;=5,"Alto",IF(AD49&gt;=3,"Moderado","Baixo"))))</x:f>
      </x:c>
      <x:c r="AD49" s="56" t="str">
        <x:f>IF(A49="","",IF(I49&gt;=70,3,IF(I49&gt;=50,2,IF(I49&gt;0,1,0)))+IF(K49="P1",2,0)+IF(M49="Sim",2,0)+IF(OR(L49="IOT",L49="TQT"),2,0)+IF(OR(V49="LRA KDIGO 3",V49="HD",V49="CRRT"),2,0)+IF(T49&gt;7,1,0)+IF(Y49="Sim",2,0))</x:f>
      </x:c>
    </x:row>
    <x:row r="50">
      <x:c r="A50" s="56" t="str"/>
      <x:c r="B50" s="56" t="str"/>
      <x:c r="C50" s="56" t="str"/>
      <x:c r="D50" s="60" t="str"/>
      <x:c r="E50" s="60" t="str"/>
      <x:c r="F50" s="56" t="str">
        <x:f>IF(E50="","",TODAY()-E50+1)</x:f>
      </x:c>
      <x:c r="G50" s="56" t="str"/>
      <x:c r="H50" s="56" t="str"/>
      <x:c r="I50" s="56" t="str"/>
      <x:c r="J50" s="62" t="str"/>
      <x:c r="K50" s="56" t="str"/>
      <x:c r="L50" s="56" t="str"/>
      <x:c r="M50" s="56" t="str"/>
      <x:c r="N50" s="56" t="str"/>
      <x:c r="O50" s="56" t="str"/>
      <x:c r="P50" s="56" t="str"/>
      <x:c r="Q50" s="56" t="str"/>
      <x:c r="R50" s="56" t="str"/>
      <x:c r="S50" s="60" t="str"/>
      <x:c r="T50" s="56" t="str">
        <x:f>IF(S50="","",TODAY()-S50+1)</x:f>
      </x:c>
      <x:c r="U50" s="56" t="str"/>
      <x:c r="V50" s="56" t="str"/>
      <x:c r="W50" s="56" t="str"/>
      <x:c r="X50" s="56" t="str"/>
      <x:c r="Y50" s="56" t="str"/>
      <x:c r="Z50" s="56" t="str"/>
      <x:c r="AA50" s="56" t="str"/>
      <x:c r="AB50" s="56" t="str"/>
      <x:c r="AC50" s="56" t="str">
        <x:f>IF(AD50="","",IF(AD50&gt;=8,"Crítico",IF(AD50&gt;=5,"Alto",IF(AD50&gt;=3,"Moderado","Baixo"))))</x:f>
      </x:c>
      <x:c r="AD50" s="56" t="str">
        <x:f>IF(A50="","",IF(I50&gt;=70,3,IF(I50&gt;=50,2,IF(I50&gt;0,1,0)))+IF(K50="P1",2,0)+IF(M50="Sim",2,0)+IF(OR(L50="IOT",L50="TQT"),2,0)+IF(OR(V50="LRA KDIGO 3",V50="HD",V50="CRRT"),2,0)+IF(T50&gt;7,1,0)+IF(Y50="Sim",2,0))</x:f>
      </x:c>
    </x:row>
    <x:row r="51">
      <x:c r="A51" s="56" t="str"/>
      <x:c r="B51" s="56" t="str"/>
      <x:c r="C51" s="56" t="str"/>
      <x:c r="D51" s="60" t="str"/>
      <x:c r="E51" s="60" t="str"/>
      <x:c r="F51" s="56" t="str">
        <x:f>IF(E51="","",TODAY()-E51+1)</x:f>
      </x:c>
      <x:c r="G51" s="56" t="str"/>
      <x:c r="H51" s="56" t="str"/>
      <x:c r="I51" s="56" t="str"/>
      <x:c r="J51" s="62" t="str"/>
      <x:c r="K51" s="56" t="str"/>
      <x:c r="L51" s="56" t="str"/>
      <x:c r="M51" s="56" t="str"/>
      <x:c r="N51" s="56" t="str"/>
      <x:c r="O51" s="56" t="str"/>
      <x:c r="P51" s="56" t="str"/>
      <x:c r="Q51" s="56" t="str"/>
      <x:c r="R51" s="56" t="str"/>
      <x:c r="S51" s="60" t="str"/>
      <x:c r="T51" s="56" t="str">
        <x:f>IF(S51="","",TODAY()-S51+1)</x:f>
      </x:c>
      <x:c r="U51" s="56" t="str"/>
      <x:c r="V51" s="56" t="str"/>
      <x:c r="W51" s="56" t="str"/>
      <x:c r="X51" s="56" t="str"/>
      <x:c r="Y51" s="56" t="str"/>
      <x:c r="Z51" s="56" t="str"/>
      <x:c r="AA51" s="56" t="str"/>
      <x:c r="AB51" s="56" t="str"/>
      <x:c r="AC51" s="56" t="str">
        <x:f>IF(AD51="","",IF(AD51&gt;=8,"Crítico",IF(AD51&gt;=5,"Alto",IF(AD51&gt;=3,"Moderado","Baixo"))))</x:f>
      </x:c>
      <x:c r="AD51" s="56" t="str">
        <x:f>IF(A51="","",IF(I51&gt;=70,3,IF(I51&gt;=50,2,IF(I51&gt;0,1,0)))+IF(K51="P1",2,0)+IF(M51="Sim",2,0)+IF(OR(L51="IOT",L51="TQT"),2,0)+IF(OR(V51="LRA KDIGO 3",V51="HD",V51="CRRT"),2,0)+IF(T51&gt;7,1,0)+IF(Y51="Sim",2,0))</x:f>
      </x:c>
    </x:row>
    <x:row r="52">
      <x:c r="A52" s="56" t="str"/>
      <x:c r="B52" s="56" t="str"/>
      <x:c r="C52" s="56" t="str"/>
      <x:c r="D52" s="60" t="str"/>
      <x:c r="E52" s="60" t="str"/>
      <x:c r="F52" s="56" t="str">
        <x:f>IF(E52="","",TODAY()-E52+1)</x:f>
      </x:c>
      <x:c r="G52" s="56" t="str"/>
      <x:c r="H52" s="56" t="str"/>
      <x:c r="I52" s="56" t="str"/>
      <x:c r="J52" s="62" t="str"/>
      <x:c r="K52" s="56" t="str"/>
      <x:c r="L52" s="56" t="str"/>
      <x:c r="M52" s="56" t="str"/>
      <x:c r="N52" s="56" t="str"/>
      <x:c r="O52" s="56" t="str"/>
      <x:c r="P52" s="56" t="str"/>
      <x:c r="Q52" s="56" t="str"/>
      <x:c r="R52" s="56" t="str"/>
      <x:c r="S52" s="60" t="str"/>
      <x:c r="T52" s="56" t="str">
        <x:f>IF(S52="","",TODAY()-S52+1)</x:f>
      </x:c>
      <x:c r="U52" s="56" t="str"/>
      <x:c r="V52" s="56" t="str"/>
      <x:c r="W52" s="56" t="str"/>
      <x:c r="X52" s="56" t="str"/>
      <x:c r="Y52" s="56" t="str"/>
      <x:c r="Z52" s="56" t="str"/>
      <x:c r="AA52" s="56" t="str"/>
      <x:c r="AB52" s="56" t="str"/>
      <x:c r="AC52" s="56" t="str">
        <x:f>IF(AD52="","",IF(AD52&gt;=8,"Crítico",IF(AD52&gt;=5,"Alto",IF(AD52&gt;=3,"Moderado","Baixo"))))</x:f>
      </x:c>
      <x:c r="AD52" s="56" t="str">
        <x:f>IF(A52="","",IF(I52&gt;=70,3,IF(I52&gt;=50,2,IF(I52&gt;0,1,0)))+IF(K52="P1",2,0)+IF(M52="Sim",2,0)+IF(OR(L52="IOT",L52="TQT"),2,0)+IF(OR(V52="LRA KDIGO 3",V52="HD",V52="CRRT"),2,0)+IF(T52&gt;7,1,0)+IF(Y52="Sim",2,0))</x:f>
      </x:c>
    </x:row>
    <x:row r="53">
      <x:c r="A53" s="56" t="str"/>
      <x:c r="B53" s="56" t="str"/>
      <x:c r="C53" s="56" t="str"/>
      <x:c r="D53" s="60" t="str"/>
      <x:c r="E53" s="60" t="str"/>
      <x:c r="F53" s="56" t="str">
        <x:f>IF(E53="","",TODAY()-E53+1)</x:f>
      </x:c>
      <x:c r="G53" s="56" t="str"/>
      <x:c r="H53" s="56" t="str"/>
      <x:c r="I53" s="56" t="str"/>
      <x:c r="J53" s="62" t="str"/>
      <x:c r="K53" s="56" t="str"/>
      <x:c r="L53" s="56" t="str"/>
      <x:c r="M53" s="56" t="str"/>
      <x:c r="N53" s="56" t="str"/>
      <x:c r="O53" s="56" t="str"/>
      <x:c r="P53" s="56" t="str"/>
      <x:c r="Q53" s="56" t="str"/>
      <x:c r="R53" s="56" t="str"/>
      <x:c r="S53" s="60" t="str"/>
      <x:c r="T53" s="56" t="str">
        <x:f>IF(S53="","",TODAY()-S53+1)</x:f>
      </x:c>
      <x:c r="U53" s="56" t="str"/>
      <x:c r="V53" s="56" t="str"/>
      <x:c r="W53" s="56" t="str"/>
      <x:c r="X53" s="56" t="str"/>
      <x:c r="Y53" s="56" t="str"/>
      <x:c r="Z53" s="56" t="str"/>
      <x:c r="AA53" s="56" t="str"/>
      <x:c r="AB53" s="56" t="str"/>
      <x:c r="AC53" s="56" t="str">
        <x:f>IF(AD53="","",IF(AD53&gt;=8,"Crítico",IF(AD53&gt;=5,"Alto",IF(AD53&gt;=3,"Moderado","Baixo"))))</x:f>
      </x:c>
      <x:c r="AD53" s="56" t="str">
        <x:f>IF(A53="","",IF(I53&gt;=70,3,IF(I53&gt;=50,2,IF(I53&gt;0,1,0)))+IF(K53="P1",2,0)+IF(M53="Sim",2,0)+IF(OR(L53="IOT",L53="TQT"),2,0)+IF(OR(V53="LRA KDIGO 3",V53="HD",V53="CRRT"),2,0)+IF(T53&gt;7,1,0)+IF(Y53="Sim",2,0))</x:f>
      </x:c>
    </x:row>
    <x:row r="54">
      <x:c r="A54" s="56" t="str"/>
      <x:c r="B54" s="56" t="str"/>
      <x:c r="C54" s="56" t="str"/>
      <x:c r="D54" s="60" t="str"/>
      <x:c r="E54" s="60" t="str"/>
      <x:c r="F54" s="56" t="str">
        <x:f>IF(E54="","",TODAY()-E54+1)</x:f>
      </x:c>
      <x:c r="G54" s="56" t="str"/>
      <x:c r="H54" s="56" t="str"/>
      <x:c r="I54" s="56" t="str"/>
      <x:c r="J54" s="62" t="str"/>
      <x:c r="K54" s="56" t="str"/>
      <x:c r="L54" s="56" t="str"/>
      <x:c r="M54" s="56" t="str"/>
      <x:c r="N54" s="56" t="str"/>
      <x:c r="O54" s="56" t="str"/>
      <x:c r="P54" s="56" t="str"/>
      <x:c r="Q54" s="56" t="str"/>
      <x:c r="R54" s="56" t="str"/>
      <x:c r="S54" s="60" t="str"/>
      <x:c r="T54" s="56" t="str">
        <x:f>IF(S54="","",TODAY()-S54+1)</x:f>
      </x:c>
      <x:c r="U54" s="56" t="str"/>
      <x:c r="V54" s="56" t="str"/>
      <x:c r="W54" s="56" t="str"/>
      <x:c r="X54" s="56" t="str"/>
      <x:c r="Y54" s="56" t="str"/>
      <x:c r="Z54" s="56" t="str"/>
      <x:c r="AA54" s="56" t="str"/>
      <x:c r="AB54" s="56" t="str"/>
      <x:c r="AC54" s="56" t="str">
        <x:f>IF(AD54="","",IF(AD54&gt;=8,"Crítico",IF(AD54&gt;=5,"Alto",IF(AD54&gt;=3,"Moderado","Baixo"))))</x:f>
      </x:c>
      <x:c r="AD54" s="56" t="str">
        <x:f>IF(A54="","",IF(I54&gt;=70,3,IF(I54&gt;=50,2,IF(I54&gt;0,1,0)))+IF(K54="P1",2,0)+IF(M54="Sim",2,0)+IF(OR(L54="IOT",L54="TQT"),2,0)+IF(OR(V54="LRA KDIGO 3",V54="HD",V54="CRRT"),2,0)+IF(T54&gt;7,1,0)+IF(Y54="Sim",2,0))</x:f>
      </x:c>
    </x:row>
    <x:row r="55">
      <x:c r="A55" s="56" t="str"/>
      <x:c r="B55" s="56" t="str"/>
      <x:c r="C55" s="56" t="str"/>
      <x:c r="D55" s="60" t="str"/>
      <x:c r="E55" s="60" t="str"/>
      <x:c r="F55" s="56" t="str">
        <x:f>IF(E55="","",TODAY()-E55+1)</x:f>
      </x:c>
      <x:c r="G55" s="56" t="str"/>
      <x:c r="H55" s="56" t="str"/>
      <x:c r="I55" s="56" t="str"/>
      <x:c r="J55" s="62" t="str"/>
      <x:c r="K55" s="56" t="str"/>
      <x:c r="L55" s="56" t="str"/>
      <x:c r="M55" s="56" t="str"/>
      <x:c r="N55" s="56" t="str"/>
      <x:c r="O55" s="56" t="str"/>
      <x:c r="P55" s="56" t="str"/>
      <x:c r="Q55" s="56" t="str"/>
      <x:c r="R55" s="56" t="str"/>
      <x:c r="S55" s="60" t="str"/>
      <x:c r="T55" s="56" t="str">
        <x:f>IF(S55="","",TODAY()-S55+1)</x:f>
      </x:c>
      <x:c r="U55" s="56" t="str"/>
      <x:c r="V55" s="56" t="str"/>
      <x:c r="W55" s="56" t="str"/>
      <x:c r="X55" s="56" t="str"/>
      <x:c r="Y55" s="56" t="str"/>
      <x:c r="Z55" s="56" t="str"/>
      <x:c r="AA55" s="56" t="str"/>
      <x:c r="AB55" s="56" t="str"/>
      <x:c r="AC55" s="56" t="str">
        <x:f>IF(AD55="","",IF(AD55&gt;=8,"Crítico",IF(AD55&gt;=5,"Alto",IF(AD55&gt;=3,"Moderado","Baixo"))))</x:f>
      </x:c>
      <x:c r="AD55" s="56" t="str">
        <x:f>IF(A55="","",IF(I55&gt;=70,3,IF(I55&gt;=50,2,IF(I55&gt;0,1,0)))+IF(K55="P1",2,0)+IF(M55="Sim",2,0)+IF(OR(L55="IOT",L55="TQT"),2,0)+IF(OR(V55="LRA KDIGO 3",V55="HD",V55="CRRT"),2,0)+IF(T55&gt;7,1,0)+IF(Y55="Sim",2,0))</x:f>
      </x:c>
    </x:row>
    <x:row r="56">
      <x:c r="A56" s="56" t="str"/>
      <x:c r="B56" s="56" t="str"/>
      <x:c r="C56" s="56" t="str"/>
      <x:c r="D56" s="60" t="str"/>
      <x:c r="E56" s="60" t="str"/>
      <x:c r="F56" s="56" t="str">
        <x:f>IF(E56="","",TODAY()-E56+1)</x:f>
      </x:c>
      <x:c r="G56" s="56" t="str"/>
      <x:c r="H56" s="56" t="str"/>
      <x:c r="I56" s="56" t="str"/>
      <x:c r="J56" s="62" t="str"/>
      <x:c r="K56" s="56" t="str"/>
      <x:c r="L56" s="56" t="str"/>
      <x:c r="M56" s="56" t="str"/>
      <x:c r="N56" s="56" t="str"/>
      <x:c r="O56" s="56" t="str"/>
      <x:c r="P56" s="56" t="str"/>
      <x:c r="Q56" s="56" t="str"/>
      <x:c r="R56" s="56" t="str"/>
      <x:c r="S56" s="60" t="str"/>
      <x:c r="T56" s="56" t="str">
        <x:f>IF(S56="","",TODAY()-S56+1)</x:f>
      </x:c>
      <x:c r="U56" s="56" t="str"/>
      <x:c r="V56" s="56" t="str"/>
      <x:c r="W56" s="56" t="str"/>
      <x:c r="X56" s="56" t="str"/>
      <x:c r="Y56" s="56" t="str"/>
      <x:c r="Z56" s="56" t="str"/>
      <x:c r="AA56" s="56" t="str"/>
      <x:c r="AB56" s="56" t="str"/>
      <x:c r="AC56" s="56" t="str">
        <x:f>IF(AD56="","",IF(AD56&gt;=8,"Crítico",IF(AD56&gt;=5,"Alto",IF(AD56&gt;=3,"Moderado","Baixo"))))</x:f>
      </x:c>
      <x:c r="AD56" s="56" t="str">
        <x:f>IF(A56="","",IF(I56&gt;=70,3,IF(I56&gt;=50,2,IF(I56&gt;0,1,0)))+IF(K56="P1",2,0)+IF(M56="Sim",2,0)+IF(OR(L56="IOT",L56="TQT"),2,0)+IF(OR(V56="LRA KDIGO 3",V56="HD",V56="CRRT"),2,0)+IF(T56&gt;7,1,0)+IF(Y56="Sim",2,0))</x:f>
      </x:c>
    </x:row>
    <x:row r="57">
      <x:c r="A57" s="56" t="str"/>
      <x:c r="B57" s="56" t="str"/>
      <x:c r="C57" s="56" t="str"/>
      <x:c r="D57" s="60" t="str"/>
      <x:c r="E57" s="60" t="str"/>
      <x:c r="F57" s="56" t="str">
        <x:f>IF(E57="","",TODAY()-E57+1)</x:f>
      </x:c>
      <x:c r="G57" s="56" t="str"/>
      <x:c r="H57" s="56" t="str"/>
      <x:c r="I57" s="56" t="str"/>
      <x:c r="J57" s="62" t="str"/>
      <x:c r="K57" s="56" t="str"/>
      <x:c r="L57" s="56" t="str"/>
      <x:c r="M57" s="56" t="str"/>
      <x:c r="N57" s="56" t="str"/>
      <x:c r="O57" s="56" t="str"/>
      <x:c r="P57" s="56" t="str"/>
      <x:c r="Q57" s="56" t="str"/>
      <x:c r="R57" s="56" t="str"/>
      <x:c r="S57" s="60" t="str"/>
      <x:c r="T57" s="56" t="str">
        <x:f>IF(S57="","",TODAY()-S57+1)</x:f>
      </x:c>
      <x:c r="U57" s="56" t="str"/>
      <x:c r="V57" s="56" t="str"/>
      <x:c r="W57" s="56" t="str"/>
      <x:c r="X57" s="56" t="str"/>
      <x:c r="Y57" s="56" t="str"/>
      <x:c r="Z57" s="56" t="str"/>
      <x:c r="AA57" s="56" t="str"/>
      <x:c r="AB57" s="56" t="str"/>
      <x:c r="AC57" s="56" t="str">
        <x:f>IF(AD57="","",IF(AD57&gt;=8,"Crítico",IF(AD57&gt;=5,"Alto",IF(AD57&gt;=3,"Moderado","Baixo"))))</x:f>
      </x:c>
      <x:c r="AD57" s="56" t="str">
        <x:f>IF(A57="","",IF(I57&gt;=70,3,IF(I57&gt;=50,2,IF(I57&gt;0,1,0)))+IF(K57="P1",2,0)+IF(M57="Sim",2,0)+IF(OR(L57="IOT",L57="TQT"),2,0)+IF(OR(V57="LRA KDIGO 3",V57="HD",V57="CRRT"),2,0)+IF(T57&gt;7,1,0)+IF(Y57="Sim",2,0))</x:f>
      </x:c>
    </x:row>
    <x:row r="58">
      <x:c r="A58" s="56" t="str"/>
      <x:c r="B58" s="56" t="str"/>
      <x:c r="C58" s="56" t="str"/>
      <x:c r="D58" s="60" t="str"/>
      <x:c r="E58" s="60" t="str"/>
      <x:c r="F58" s="56" t="str">
        <x:f>IF(E58="","",TODAY()-E58+1)</x:f>
      </x:c>
      <x:c r="G58" s="56" t="str"/>
      <x:c r="H58" s="56" t="str"/>
      <x:c r="I58" s="56" t="str"/>
      <x:c r="J58" s="62" t="str"/>
      <x:c r="K58" s="56" t="str"/>
      <x:c r="L58" s="56" t="str"/>
      <x:c r="M58" s="56" t="str"/>
      <x:c r="N58" s="56" t="str"/>
      <x:c r="O58" s="56" t="str"/>
      <x:c r="P58" s="56" t="str"/>
      <x:c r="Q58" s="56" t="str"/>
      <x:c r="R58" s="56" t="str"/>
      <x:c r="S58" s="60" t="str"/>
      <x:c r="T58" s="56" t="str">
        <x:f>IF(S58="","",TODAY()-S58+1)</x:f>
      </x:c>
      <x:c r="U58" s="56" t="str"/>
      <x:c r="V58" s="56" t="str"/>
      <x:c r="W58" s="56" t="str"/>
      <x:c r="X58" s="56" t="str"/>
      <x:c r="Y58" s="56" t="str"/>
      <x:c r="Z58" s="56" t="str"/>
      <x:c r="AA58" s="56" t="str"/>
      <x:c r="AB58" s="56" t="str"/>
      <x:c r="AC58" s="56" t="str">
        <x:f>IF(AD58="","",IF(AD58&gt;=8,"Crítico",IF(AD58&gt;=5,"Alto",IF(AD58&gt;=3,"Moderado","Baixo"))))</x:f>
      </x:c>
      <x:c r="AD58" s="56" t="str">
        <x:f>IF(A58="","",IF(I58&gt;=70,3,IF(I58&gt;=50,2,IF(I58&gt;0,1,0)))+IF(K58="P1",2,0)+IF(M58="Sim",2,0)+IF(OR(L58="IOT",L58="TQT"),2,0)+IF(OR(V58="LRA KDIGO 3",V58="HD",V58="CRRT"),2,0)+IF(T58&gt;7,1,0)+IF(Y58="Sim",2,0))</x:f>
      </x:c>
    </x:row>
    <x:row r="59">
      <x:c r="A59" s="56" t="str"/>
      <x:c r="B59" s="56" t="str"/>
      <x:c r="C59" s="56" t="str"/>
      <x:c r="D59" s="60" t="str"/>
      <x:c r="E59" s="60" t="str"/>
      <x:c r="F59" s="56" t="str">
        <x:f>IF(E59="","",TODAY()-E59+1)</x:f>
      </x:c>
      <x:c r="G59" s="56" t="str"/>
      <x:c r="H59" s="56" t="str"/>
      <x:c r="I59" s="56" t="str"/>
      <x:c r="J59" s="62" t="str"/>
      <x:c r="K59" s="56" t="str"/>
      <x:c r="L59" s="56" t="str"/>
      <x:c r="M59" s="56" t="str"/>
      <x:c r="N59" s="56" t="str"/>
      <x:c r="O59" s="56" t="str"/>
      <x:c r="P59" s="56" t="str"/>
      <x:c r="Q59" s="56" t="str"/>
      <x:c r="R59" s="56" t="str"/>
      <x:c r="S59" s="60" t="str"/>
      <x:c r="T59" s="56" t="str">
        <x:f>IF(S59="","",TODAY()-S59+1)</x:f>
      </x:c>
      <x:c r="U59" s="56" t="str"/>
      <x:c r="V59" s="56" t="str"/>
      <x:c r="W59" s="56" t="str"/>
      <x:c r="X59" s="56" t="str"/>
      <x:c r="Y59" s="56" t="str"/>
      <x:c r="Z59" s="56" t="str"/>
      <x:c r="AA59" s="56" t="str"/>
      <x:c r="AB59" s="56" t="str"/>
      <x:c r="AC59" s="56" t="str">
        <x:f>IF(AD59="","",IF(AD59&gt;=8,"Crítico",IF(AD59&gt;=5,"Alto",IF(AD59&gt;=3,"Moderado","Baixo"))))</x:f>
      </x:c>
      <x:c r="AD59" s="56" t="str">
        <x:f>IF(A59="","",IF(I59&gt;=70,3,IF(I59&gt;=50,2,IF(I59&gt;0,1,0)))+IF(K59="P1",2,0)+IF(M59="Sim",2,0)+IF(OR(L59="IOT",L59="TQT"),2,0)+IF(OR(V59="LRA KDIGO 3",V59="HD",V59="CRRT"),2,0)+IF(T59&gt;7,1,0)+IF(Y59="Sim",2,0))</x:f>
      </x:c>
    </x:row>
    <x:row r="60">
      <x:c r="A60" s="56" t="str"/>
      <x:c r="B60" s="56" t="str"/>
      <x:c r="C60" s="56" t="str"/>
      <x:c r="D60" s="60" t="str"/>
      <x:c r="E60" s="60" t="str"/>
      <x:c r="F60" s="56" t="str">
        <x:f>IF(E60="","",TODAY()-E60+1)</x:f>
      </x:c>
      <x:c r="G60" s="56" t="str"/>
      <x:c r="H60" s="56" t="str"/>
      <x:c r="I60" s="56" t="str"/>
      <x:c r="J60" s="62" t="str"/>
      <x:c r="K60" s="56" t="str"/>
      <x:c r="L60" s="56" t="str"/>
      <x:c r="M60" s="56" t="str"/>
      <x:c r="N60" s="56" t="str"/>
      <x:c r="O60" s="56" t="str"/>
      <x:c r="P60" s="56" t="str"/>
      <x:c r="Q60" s="56" t="str"/>
      <x:c r="R60" s="56" t="str"/>
      <x:c r="S60" s="60" t="str"/>
      <x:c r="T60" s="56" t="str">
        <x:f>IF(S60="","",TODAY()-S60+1)</x:f>
      </x:c>
      <x:c r="U60" s="56" t="str"/>
      <x:c r="V60" s="56" t="str"/>
      <x:c r="W60" s="56" t="str"/>
      <x:c r="X60" s="56" t="str"/>
      <x:c r="Y60" s="56" t="str"/>
      <x:c r="Z60" s="56" t="str"/>
      <x:c r="AA60" s="56" t="str"/>
      <x:c r="AB60" s="56" t="str"/>
      <x:c r="AC60" s="56" t="str">
        <x:f>IF(AD60="","",IF(AD60&gt;=8,"Crítico",IF(AD60&gt;=5,"Alto",IF(AD60&gt;=3,"Moderado","Baixo"))))</x:f>
      </x:c>
      <x:c r="AD60" s="56" t="str">
        <x:f>IF(A60="","",IF(I60&gt;=70,3,IF(I60&gt;=50,2,IF(I60&gt;0,1,0)))+IF(K60="P1",2,0)+IF(M60="Sim",2,0)+IF(OR(L60="IOT",L60="TQT"),2,0)+IF(OR(V60="LRA KDIGO 3",V60="HD",V60="CRRT"),2,0)+IF(T60&gt;7,1,0)+IF(Y60="Sim",2,0))</x:f>
      </x:c>
    </x:row>
    <x:row r="61">
      <x:c r="A61" s="56" t="str"/>
      <x:c r="B61" s="56" t="str"/>
      <x:c r="C61" s="56" t="str"/>
      <x:c r="D61" s="60" t="str"/>
      <x:c r="E61" s="60" t="str"/>
      <x:c r="F61" s="56" t="str">
        <x:f>IF(E61="","",TODAY()-E61+1)</x:f>
      </x:c>
      <x:c r="G61" s="56" t="str"/>
      <x:c r="H61" s="56" t="str"/>
      <x:c r="I61" s="56" t="str"/>
      <x:c r="J61" s="62" t="str"/>
      <x:c r="K61" s="56" t="str"/>
      <x:c r="L61" s="56" t="str"/>
      <x:c r="M61" s="56" t="str"/>
      <x:c r="N61" s="56" t="str"/>
      <x:c r="O61" s="56" t="str"/>
      <x:c r="P61" s="56" t="str"/>
      <x:c r="Q61" s="56" t="str"/>
      <x:c r="R61" s="56" t="str"/>
      <x:c r="S61" s="60" t="str"/>
      <x:c r="T61" s="56" t="str">
        <x:f>IF(S61="","",TODAY()-S61+1)</x:f>
      </x:c>
      <x:c r="U61" s="56" t="str"/>
      <x:c r="V61" s="56" t="str"/>
      <x:c r="W61" s="56" t="str"/>
      <x:c r="X61" s="56" t="str"/>
      <x:c r="Y61" s="56" t="str"/>
      <x:c r="Z61" s="56" t="str"/>
      <x:c r="AA61" s="56" t="str"/>
      <x:c r="AB61" s="56" t="str"/>
      <x:c r="AC61" s="56" t="str">
        <x:f>IF(AD61="","",IF(AD61&gt;=8,"Crítico",IF(AD61&gt;=5,"Alto",IF(AD61&gt;=3,"Moderado","Baixo"))))</x:f>
      </x:c>
      <x:c r="AD61" s="56" t="str">
        <x:f>IF(A61="","",IF(I61&gt;=70,3,IF(I61&gt;=50,2,IF(I61&gt;0,1,0)))+IF(K61="P1",2,0)+IF(M61="Sim",2,0)+IF(OR(L61="IOT",L61="TQT"),2,0)+IF(OR(V61="LRA KDIGO 3",V61="HD",V61="CRRT"),2,0)+IF(T61&gt;7,1,0)+IF(Y61="Sim",2,0))</x:f>
      </x:c>
    </x:row>
    <x:row r="62">
      <x:c r="A62" s="56" t="str"/>
      <x:c r="B62" s="56" t="str"/>
      <x:c r="C62" s="56" t="str"/>
      <x:c r="D62" s="60" t="str"/>
      <x:c r="E62" s="60" t="str"/>
      <x:c r="F62" s="56" t="str">
        <x:f>IF(E62="","",TODAY()-E62+1)</x:f>
      </x:c>
      <x:c r="G62" s="56" t="str"/>
      <x:c r="H62" s="56" t="str"/>
      <x:c r="I62" s="56" t="str"/>
      <x:c r="J62" s="62" t="str"/>
      <x:c r="K62" s="56" t="str"/>
      <x:c r="L62" s="56" t="str"/>
      <x:c r="M62" s="56" t="str"/>
      <x:c r="N62" s="56" t="str"/>
      <x:c r="O62" s="56" t="str"/>
      <x:c r="P62" s="56" t="str"/>
      <x:c r="Q62" s="56" t="str"/>
      <x:c r="R62" s="56" t="str"/>
      <x:c r="S62" s="60" t="str"/>
      <x:c r="T62" s="56" t="str">
        <x:f>IF(S62="","",TODAY()-S62+1)</x:f>
      </x:c>
      <x:c r="U62" s="56" t="str"/>
      <x:c r="V62" s="56" t="str"/>
      <x:c r="W62" s="56" t="str"/>
      <x:c r="X62" s="56" t="str"/>
      <x:c r="Y62" s="56" t="str"/>
      <x:c r="Z62" s="56" t="str"/>
      <x:c r="AA62" s="56" t="str"/>
      <x:c r="AB62" s="56" t="str"/>
      <x:c r="AC62" s="56" t="str">
        <x:f>IF(AD62="","",IF(AD62&gt;=8,"Crítico",IF(AD62&gt;=5,"Alto",IF(AD62&gt;=3,"Moderado","Baixo"))))</x:f>
      </x:c>
      <x:c r="AD62" s="56" t="str">
        <x:f>IF(A62="","",IF(I62&gt;=70,3,IF(I62&gt;=50,2,IF(I62&gt;0,1,0)))+IF(K62="P1",2,0)+IF(M62="Sim",2,0)+IF(OR(L62="IOT",L62="TQT"),2,0)+IF(OR(V62="LRA KDIGO 3",V62="HD",V62="CRRT"),2,0)+IF(T62&gt;7,1,0)+IF(Y62="Sim",2,0))</x:f>
      </x:c>
    </x:row>
    <x:row r="63">
      <x:c r="A63" s="56" t="str"/>
      <x:c r="B63" s="56" t="str"/>
      <x:c r="C63" s="56" t="str"/>
      <x:c r="D63" s="60" t="str"/>
      <x:c r="E63" s="60" t="str"/>
      <x:c r="F63" s="56" t="str">
        <x:f>IF(E63="","",TODAY()-E63+1)</x:f>
      </x:c>
      <x:c r="G63" s="56" t="str"/>
      <x:c r="H63" s="56" t="str"/>
      <x:c r="I63" s="56" t="str"/>
      <x:c r="J63" s="62" t="str"/>
      <x:c r="K63" s="56" t="str"/>
      <x:c r="L63" s="56" t="str"/>
      <x:c r="M63" s="56" t="str"/>
      <x:c r="N63" s="56" t="str"/>
      <x:c r="O63" s="56" t="str"/>
      <x:c r="P63" s="56" t="str"/>
      <x:c r="Q63" s="56" t="str"/>
      <x:c r="R63" s="56" t="str"/>
      <x:c r="S63" s="60" t="str"/>
      <x:c r="T63" s="56" t="str">
        <x:f>IF(S63="","",TODAY()-S63+1)</x:f>
      </x:c>
      <x:c r="U63" s="56" t="str"/>
      <x:c r="V63" s="56" t="str"/>
      <x:c r="W63" s="56" t="str"/>
      <x:c r="X63" s="56" t="str"/>
      <x:c r="Y63" s="56" t="str"/>
      <x:c r="Z63" s="56" t="str"/>
      <x:c r="AA63" s="56" t="str"/>
      <x:c r="AB63" s="56" t="str"/>
      <x:c r="AC63" s="56" t="str">
        <x:f>IF(AD63="","",IF(AD63&gt;=8,"Crítico",IF(AD63&gt;=5,"Alto",IF(AD63&gt;=3,"Moderado","Baixo"))))</x:f>
      </x:c>
      <x:c r="AD63" s="56" t="str">
        <x:f>IF(A63="","",IF(I63&gt;=70,3,IF(I63&gt;=50,2,IF(I63&gt;0,1,0)))+IF(K63="P1",2,0)+IF(M63="Sim",2,0)+IF(OR(L63="IOT",L63="TQT"),2,0)+IF(OR(V63="LRA KDIGO 3",V63="HD",V63="CRRT"),2,0)+IF(T63&gt;7,1,0)+IF(Y63="Sim",2,0))</x:f>
      </x:c>
    </x:row>
    <x:row r="64">
      <x:c r="A64" s="56" t="str"/>
      <x:c r="B64" s="56" t="str"/>
      <x:c r="C64" s="56" t="str"/>
      <x:c r="D64" s="60" t="str"/>
      <x:c r="E64" s="60" t="str"/>
      <x:c r="F64" s="56" t="str">
        <x:f>IF(E64="","",TODAY()-E64+1)</x:f>
      </x:c>
      <x:c r="G64" s="56" t="str"/>
      <x:c r="H64" s="56" t="str"/>
      <x:c r="I64" s="56" t="str"/>
      <x:c r="J64" s="62" t="str"/>
      <x:c r="K64" s="56" t="str"/>
      <x:c r="L64" s="56" t="str"/>
      <x:c r="M64" s="56" t="str"/>
      <x:c r="N64" s="56" t="str"/>
      <x:c r="O64" s="56" t="str"/>
      <x:c r="P64" s="56" t="str"/>
      <x:c r="Q64" s="56" t="str"/>
      <x:c r="R64" s="56" t="str"/>
      <x:c r="S64" s="60" t="str"/>
      <x:c r="T64" s="56" t="str">
        <x:f>IF(S64="","",TODAY()-S64+1)</x:f>
      </x:c>
      <x:c r="U64" s="56" t="str"/>
      <x:c r="V64" s="56" t="str"/>
      <x:c r="W64" s="56" t="str"/>
      <x:c r="X64" s="56" t="str"/>
      <x:c r="Y64" s="56" t="str"/>
      <x:c r="Z64" s="56" t="str"/>
      <x:c r="AA64" s="56" t="str"/>
      <x:c r="AB64" s="56" t="str"/>
      <x:c r="AC64" s="56" t="str">
        <x:f>IF(AD64="","",IF(AD64&gt;=8,"Crítico",IF(AD64&gt;=5,"Alto",IF(AD64&gt;=3,"Moderado","Baixo"))))</x:f>
      </x:c>
      <x:c r="AD64" s="56" t="str">
        <x:f>IF(A64="","",IF(I64&gt;=70,3,IF(I64&gt;=50,2,IF(I64&gt;0,1,0)))+IF(K64="P1",2,0)+IF(M64="Sim",2,0)+IF(OR(L64="IOT",L64="TQT"),2,0)+IF(OR(V64="LRA KDIGO 3",V64="HD",V64="CRRT"),2,0)+IF(T64&gt;7,1,0)+IF(Y64="Sim",2,0))</x:f>
      </x:c>
    </x:row>
    <x:row r="65">
      <x:c r="A65" s="56" t="str"/>
      <x:c r="B65" s="56" t="str"/>
      <x:c r="C65" s="56" t="str"/>
      <x:c r="D65" s="60" t="str"/>
      <x:c r="E65" s="60" t="str"/>
      <x:c r="F65" s="56" t="str">
        <x:f>IF(E65="","",TODAY()-E65+1)</x:f>
      </x:c>
      <x:c r="G65" s="56" t="str"/>
      <x:c r="H65" s="56" t="str"/>
      <x:c r="I65" s="56" t="str"/>
      <x:c r="J65" s="62" t="str"/>
      <x:c r="K65" s="56" t="str"/>
      <x:c r="L65" s="56" t="str"/>
      <x:c r="M65" s="56" t="str"/>
      <x:c r="N65" s="56" t="str"/>
      <x:c r="O65" s="56" t="str"/>
      <x:c r="P65" s="56" t="str"/>
      <x:c r="Q65" s="56" t="str"/>
      <x:c r="R65" s="56" t="str"/>
      <x:c r="S65" s="60" t="str"/>
      <x:c r="T65" s="56" t="str">
        <x:f>IF(S65="","",TODAY()-S65+1)</x:f>
      </x:c>
      <x:c r="U65" s="56" t="str"/>
      <x:c r="V65" s="56" t="str"/>
      <x:c r="W65" s="56" t="str"/>
      <x:c r="X65" s="56" t="str"/>
      <x:c r="Y65" s="56" t="str"/>
      <x:c r="Z65" s="56" t="str"/>
      <x:c r="AA65" s="56" t="str"/>
      <x:c r="AB65" s="56" t="str"/>
      <x:c r="AC65" s="56" t="str">
        <x:f>IF(AD65="","",IF(AD65&gt;=8,"Crítico",IF(AD65&gt;=5,"Alto",IF(AD65&gt;=3,"Moderado","Baixo"))))</x:f>
      </x:c>
      <x:c r="AD65" s="56" t="str">
        <x:f>IF(A65="","",IF(I65&gt;=70,3,IF(I65&gt;=50,2,IF(I65&gt;0,1,0)))+IF(K65="P1",2,0)+IF(M65="Sim",2,0)+IF(OR(L65="IOT",L65="TQT"),2,0)+IF(OR(V65="LRA KDIGO 3",V65="HD",V65="CRRT"),2,0)+IF(T65&gt;7,1,0)+IF(Y65="Sim",2,0))</x:f>
      </x:c>
    </x:row>
    <x:row r="66">
      <x:c r="A66" s="56" t="str"/>
      <x:c r="B66" s="56" t="str"/>
      <x:c r="C66" s="56" t="str"/>
      <x:c r="D66" s="60" t="str"/>
      <x:c r="E66" s="60" t="str"/>
      <x:c r="F66" s="56" t="str">
        <x:f>IF(E66="","",TODAY()-E66+1)</x:f>
      </x:c>
      <x:c r="G66" s="56" t="str"/>
      <x:c r="H66" s="56" t="str"/>
      <x:c r="I66" s="56" t="str"/>
      <x:c r="J66" s="62" t="str"/>
      <x:c r="K66" s="56" t="str"/>
      <x:c r="L66" s="56" t="str"/>
      <x:c r="M66" s="56" t="str"/>
      <x:c r="N66" s="56" t="str"/>
      <x:c r="O66" s="56" t="str"/>
      <x:c r="P66" s="56" t="str"/>
      <x:c r="Q66" s="56" t="str"/>
      <x:c r="R66" s="56" t="str"/>
      <x:c r="S66" s="60" t="str"/>
      <x:c r="T66" s="56" t="str">
        <x:f>IF(S66="","",TODAY()-S66+1)</x:f>
      </x:c>
      <x:c r="U66" s="56" t="str"/>
      <x:c r="V66" s="56" t="str"/>
      <x:c r="W66" s="56" t="str"/>
      <x:c r="X66" s="56" t="str"/>
      <x:c r="Y66" s="56" t="str"/>
      <x:c r="Z66" s="56" t="str"/>
      <x:c r="AA66" s="56" t="str"/>
      <x:c r="AB66" s="56" t="str"/>
      <x:c r="AC66" s="56" t="str">
        <x:f>IF(AD66="","",IF(AD66&gt;=8,"Crítico",IF(AD66&gt;=5,"Alto",IF(AD66&gt;=3,"Moderado","Baixo"))))</x:f>
      </x:c>
      <x:c r="AD66" s="56" t="str">
        <x:f>IF(A66="","",IF(I66&gt;=70,3,IF(I66&gt;=50,2,IF(I66&gt;0,1,0)))+IF(K66="P1",2,0)+IF(M66="Sim",2,0)+IF(OR(L66="IOT",L66="TQT"),2,0)+IF(OR(V66="LRA KDIGO 3",V66="HD",V66="CRRT"),2,0)+IF(T66&gt;7,1,0)+IF(Y66="Sim",2,0))</x:f>
      </x:c>
    </x:row>
    <x:row r="67">
      <x:c r="A67" s="56" t="str"/>
      <x:c r="B67" s="56" t="str"/>
      <x:c r="C67" s="56" t="str"/>
      <x:c r="D67" s="60" t="str"/>
      <x:c r="E67" s="60" t="str"/>
      <x:c r="F67" s="56" t="str">
        <x:f>IF(E67="","",TODAY()-E67+1)</x:f>
      </x:c>
      <x:c r="G67" s="56" t="str"/>
      <x:c r="H67" s="56" t="str"/>
      <x:c r="I67" s="56" t="str"/>
      <x:c r="J67" s="62" t="str"/>
      <x:c r="K67" s="56" t="str"/>
      <x:c r="L67" s="56" t="str"/>
      <x:c r="M67" s="56" t="str"/>
      <x:c r="N67" s="56" t="str"/>
      <x:c r="O67" s="56" t="str"/>
      <x:c r="P67" s="56" t="str"/>
      <x:c r="Q67" s="56" t="str"/>
      <x:c r="R67" s="56" t="str"/>
      <x:c r="S67" s="60" t="str"/>
      <x:c r="T67" s="56" t="str">
        <x:f>IF(S67="","",TODAY()-S67+1)</x:f>
      </x:c>
      <x:c r="U67" s="56" t="str"/>
      <x:c r="V67" s="56" t="str"/>
      <x:c r="W67" s="56" t="str"/>
      <x:c r="X67" s="56" t="str"/>
      <x:c r="Y67" s="56" t="str"/>
      <x:c r="Z67" s="56" t="str"/>
      <x:c r="AA67" s="56" t="str"/>
      <x:c r="AB67" s="56" t="str"/>
      <x:c r="AC67" s="56" t="str">
        <x:f>IF(AD67="","",IF(AD67&gt;=8,"Crítico",IF(AD67&gt;=5,"Alto",IF(AD67&gt;=3,"Moderado","Baixo"))))</x:f>
      </x:c>
      <x:c r="AD67" s="56" t="str">
        <x:f>IF(A67="","",IF(I67&gt;=70,3,IF(I67&gt;=50,2,IF(I67&gt;0,1,0)))+IF(K67="P1",2,0)+IF(M67="Sim",2,0)+IF(OR(L67="IOT",L67="TQT"),2,0)+IF(OR(V67="LRA KDIGO 3",V67="HD",V67="CRRT"),2,0)+IF(T67&gt;7,1,0)+IF(Y67="Sim",2,0))</x:f>
      </x:c>
    </x:row>
    <x:row r="68">
      <x:c r="A68" s="56" t="str"/>
      <x:c r="B68" s="56" t="str"/>
      <x:c r="C68" s="56" t="str"/>
      <x:c r="D68" s="60" t="str"/>
      <x:c r="E68" s="60" t="str"/>
      <x:c r="F68" s="56" t="str">
        <x:f>IF(E68="","",TODAY()-E68+1)</x:f>
      </x:c>
      <x:c r="G68" s="56" t="str"/>
      <x:c r="H68" s="56" t="str"/>
      <x:c r="I68" s="56" t="str"/>
      <x:c r="J68" s="62" t="str"/>
      <x:c r="K68" s="56" t="str"/>
      <x:c r="L68" s="56" t="str"/>
      <x:c r="M68" s="56" t="str"/>
      <x:c r="N68" s="56" t="str"/>
      <x:c r="O68" s="56" t="str"/>
      <x:c r="P68" s="56" t="str"/>
      <x:c r="Q68" s="56" t="str"/>
      <x:c r="R68" s="56" t="str"/>
      <x:c r="S68" s="60" t="str"/>
      <x:c r="T68" s="56" t="str">
        <x:f>IF(S68="","",TODAY()-S68+1)</x:f>
      </x:c>
      <x:c r="U68" s="56" t="str"/>
      <x:c r="V68" s="56" t="str"/>
      <x:c r="W68" s="56" t="str"/>
      <x:c r="X68" s="56" t="str"/>
      <x:c r="Y68" s="56" t="str"/>
      <x:c r="Z68" s="56" t="str"/>
      <x:c r="AA68" s="56" t="str"/>
      <x:c r="AB68" s="56" t="str"/>
      <x:c r="AC68" s="56" t="str">
        <x:f>IF(AD68="","",IF(AD68&gt;=8,"Crítico",IF(AD68&gt;=5,"Alto",IF(AD68&gt;=3,"Moderado","Baixo"))))</x:f>
      </x:c>
      <x:c r="AD68" s="56" t="str">
        <x:f>IF(A68="","",IF(I68&gt;=70,3,IF(I68&gt;=50,2,IF(I68&gt;0,1,0)))+IF(K68="P1",2,0)+IF(M68="Sim",2,0)+IF(OR(L68="IOT",L68="TQT"),2,0)+IF(OR(V68="LRA KDIGO 3",V68="HD",V68="CRRT"),2,0)+IF(T68&gt;7,1,0)+IF(Y68="Sim",2,0))</x:f>
      </x:c>
    </x:row>
    <x:row r="69">
      <x:c r="A69" s="56" t="str"/>
      <x:c r="B69" s="56" t="str"/>
      <x:c r="C69" s="56" t="str"/>
      <x:c r="D69" s="60" t="str"/>
      <x:c r="E69" s="60" t="str"/>
      <x:c r="F69" s="56" t="str">
        <x:f>IF(E69="","",TODAY()-E69+1)</x:f>
      </x:c>
      <x:c r="G69" s="56" t="str"/>
      <x:c r="H69" s="56" t="str"/>
      <x:c r="I69" s="56" t="str"/>
      <x:c r="J69" s="62" t="str"/>
      <x:c r="K69" s="56" t="str"/>
      <x:c r="L69" s="56" t="str"/>
      <x:c r="M69" s="56" t="str"/>
      <x:c r="N69" s="56" t="str"/>
      <x:c r="O69" s="56" t="str"/>
      <x:c r="P69" s="56" t="str"/>
      <x:c r="Q69" s="56" t="str"/>
      <x:c r="R69" s="56" t="str"/>
      <x:c r="S69" s="60" t="str"/>
      <x:c r="T69" s="56" t="str">
        <x:f>IF(S69="","",TODAY()-S69+1)</x:f>
      </x:c>
      <x:c r="U69" s="56" t="str"/>
      <x:c r="V69" s="56" t="str"/>
      <x:c r="W69" s="56" t="str"/>
      <x:c r="X69" s="56" t="str"/>
      <x:c r="Y69" s="56" t="str"/>
      <x:c r="Z69" s="56" t="str"/>
      <x:c r="AA69" s="56" t="str"/>
      <x:c r="AB69" s="56" t="str"/>
      <x:c r="AC69" s="56" t="str">
        <x:f>IF(AD69="","",IF(AD69&gt;=8,"Crítico",IF(AD69&gt;=5,"Alto",IF(AD69&gt;=3,"Moderado","Baixo"))))</x:f>
      </x:c>
      <x:c r="AD69" s="56" t="str">
        <x:f>IF(A69="","",IF(I69&gt;=70,3,IF(I69&gt;=50,2,IF(I69&gt;0,1,0)))+IF(K69="P1",2,0)+IF(M69="Sim",2,0)+IF(OR(L69="IOT",L69="TQT"),2,0)+IF(OR(V69="LRA KDIGO 3",V69="HD",V69="CRRT"),2,0)+IF(T69&gt;7,1,0)+IF(Y69="Sim",2,0))</x:f>
      </x:c>
    </x:row>
    <x:row r="70">
      <x:c r="A70" s="56" t="str"/>
      <x:c r="B70" s="56" t="str"/>
      <x:c r="C70" s="56" t="str"/>
      <x:c r="D70" s="60" t="str"/>
      <x:c r="E70" s="60" t="str"/>
      <x:c r="F70" s="56" t="str">
        <x:f>IF(E70="","",TODAY()-E70+1)</x:f>
      </x:c>
      <x:c r="G70" s="56" t="str"/>
      <x:c r="H70" s="56" t="str"/>
      <x:c r="I70" s="56" t="str"/>
      <x:c r="J70" s="62" t="str"/>
      <x:c r="K70" s="56" t="str"/>
      <x:c r="L70" s="56" t="str"/>
      <x:c r="M70" s="56" t="str"/>
      <x:c r="N70" s="56" t="str"/>
      <x:c r="O70" s="56" t="str"/>
      <x:c r="P70" s="56" t="str"/>
      <x:c r="Q70" s="56" t="str"/>
      <x:c r="R70" s="56" t="str"/>
      <x:c r="S70" s="60" t="str"/>
      <x:c r="T70" s="56" t="str">
        <x:f>IF(S70="","",TODAY()-S70+1)</x:f>
      </x:c>
      <x:c r="U70" s="56" t="str"/>
      <x:c r="V70" s="56" t="str"/>
      <x:c r="W70" s="56" t="str"/>
      <x:c r="X70" s="56" t="str"/>
      <x:c r="Y70" s="56" t="str"/>
      <x:c r="Z70" s="56" t="str"/>
      <x:c r="AA70" s="56" t="str"/>
      <x:c r="AB70" s="56" t="str"/>
      <x:c r="AC70" s="56" t="str">
        <x:f>IF(AD70="","",IF(AD70&gt;=8,"Crítico",IF(AD70&gt;=5,"Alto",IF(AD70&gt;=3,"Moderado","Baixo"))))</x:f>
      </x:c>
      <x:c r="AD70" s="56" t="str">
        <x:f>IF(A70="","",IF(I70&gt;=70,3,IF(I70&gt;=50,2,IF(I70&gt;0,1,0)))+IF(K70="P1",2,0)+IF(M70="Sim",2,0)+IF(OR(L70="IOT",L70="TQT"),2,0)+IF(OR(V70="LRA KDIGO 3",V70="HD",V70="CRRT"),2,0)+IF(T70&gt;7,1,0)+IF(Y70="Sim",2,0))</x:f>
      </x:c>
    </x:row>
    <x:row r="71">
      <x:c r="A71" s="56" t="str"/>
      <x:c r="B71" s="56" t="str"/>
      <x:c r="C71" s="56" t="str"/>
      <x:c r="D71" s="60" t="str"/>
      <x:c r="E71" s="60" t="str"/>
      <x:c r="F71" s="56" t="str">
        <x:f>IF(E71="","",TODAY()-E71+1)</x:f>
      </x:c>
      <x:c r="G71" s="56" t="str"/>
      <x:c r="H71" s="56" t="str"/>
      <x:c r="I71" s="56" t="str"/>
      <x:c r="J71" s="62" t="str"/>
      <x:c r="K71" s="56" t="str"/>
      <x:c r="L71" s="56" t="str"/>
      <x:c r="M71" s="56" t="str"/>
      <x:c r="N71" s="56" t="str"/>
      <x:c r="O71" s="56" t="str"/>
      <x:c r="P71" s="56" t="str"/>
      <x:c r="Q71" s="56" t="str"/>
      <x:c r="R71" s="56" t="str"/>
      <x:c r="S71" s="60" t="str"/>
      <x:c r="T71" s="56" t="str">
        <x:f>IF(S71="","",TODAY()-S71+1)</x:f>
      </x:c>
      <x:c r="U71" s="56" t="str"/>
      <x:c r="V71" s="56" t="str"/>
      <x:c r="W71" s="56" t="str"/>
      <x:c r="X71" s="56" t="str"/>
      <x:c r="Y71" s="56" t="str"/>
      <x:c r="Z71" s="56" t="str"/>
      <x:c r="AA71" s="56" t="str"/>
      <x:c r="AB71" s="56" t="str"/>
      <x:c r="AC71" s="56" t="str">
        <x:f>IF(AD71="","",IF(AD71&gt;=8,"Crítico",IF(AD71&gt;=5,"Alto",IF(AD71&gt;=3,"Moderado","Baixo"))))</x:f>
      </x:c>
      <x:c r="AD71" s="56" t="str">
        <x:f>IF(A71="","",IF(I71&gt;=70,3,IF(I71&gt;=50,2,IF(I71&gt;0,1,0)))+IF(K71="P1",2,0)+IF(M71="Sim",2,0)+IF(OR(L71="IOT",L71="TQT"),2,0)+IF(OR(V71="LRA KDIGO 3",V71="HD",V71="CRRT"),2,0)+IF(T71&gt;7,1,0)+IF(Y71="Sim",2,0))</x:f>
      </x:c>
    </x:row>
    <x:row r="72">
      <x:c r="A72" s="56" t="str"/>
      <x:c r="B72" s="56" t="str"/>
      <x:c r="C72" s="56" t="str"/>
      <x:c r="D72" s="60" t="str"/>
      <x:c r="E72" s="60" t="str"/>
      <x:c r="F72" s="56" t="str">
        <x:f>IF(E72="","",TODAY()-E72+1)</x:f>
      </x:c>
      <x:c r="G72" s="56" t="str"/>
      <x:c r="H72" s="56" t="str"/>
      <x:c r="I72" s="56" t="str"/>
      <x:c r="J72" s="62" t="str"/>
      <x:c r="K72" s="56" t="str"/>
      <x:c r="L72" s="56" t="str"/>
      <x:c r="M72" s="56" t="str"/>
      <x:c r="N72" s="56" t="str"/>
      <x:c r="O72" s="56" t="str"/>
      <x:c r="P72" s="56" t="str"/>
      <x:c r="Q72" s="56" t="str"/>
      <x:c r="R72" s="56" t="str"/>
      <x:c r="S72" s="60" t="str"/>
      <x:c r="T72" s="56" t="str">
        <x:f>IF(S72="","",TODAY()-S72+1)</x:f>
      </x:c>
      <x:c r="U72" s="56" t="str"/>
      <x:c r="V72" s="56" t="str"/>
      <x:c r="W72" s="56" t="str"/>
      <x:c r="X72" s="56" t="str"/>
      <x:c r="Y72" s="56" t="str"/>
      <x:c r="Z72" s="56" t="str"/>
      <x:c r="AA72" s="56" t="str"/>
      <x:c r="AB72" s="56" t="str"/>
      <x:c r="AC72" s="56" t="str">
        <x:f>IF(AD72="","",IF(AD72&gt;=8,"Crítico",IF(AD72&gt;=5,"Alto",IF(AD72&gt;=3,"Moderado","Baixo"))))</x:f>
      </x:c>
      <x:c r="AD72" s="56" t="str">
        <x:f>IF(A72="","",IF(I72&gt;=70,3,IF(I72&gt;=50,2,IF(I72&gt;0,1,0)))+IF(K72="P1",2,0)+IF(M72="Sim",2,0)+IF(OR(L72="IOT",L72="TQT"),2,0)+IF(OR(V72="LRA KDIGO 3",V72="HD",V72="CRRT"),2,0)+IF(T72&gt;7,1,0)+IF(Y72="Sim",2,0))</x:f>
      </x:c>
    </x:row>
    <x:row r="73">
      <x:c r="A73" s="56" t="str"/>
      <x:c r="B73" s="56" t="str"/>
      <x:c r="C73" s="56" t="str"/>
      <x:c r="D73" s="60" t="str"/>
      <x:c r="E73" s="60" t="str"/>
      <x:c r="F73" s="56" t="str">
        <x:f>IF(E73="","",TODAY()-E73+1)</x:f>
      </x:c>
      <x:c r="G73" s="56" t="str"/>
      <x:c r="H73" s="56" t="str"/>
      <x:c r="I73" s="56" t="str"/>
      <x:c r="J73" s="62" t="str"/>
      <x:c r="K73" s="56" t="str"/>
      <x:c r="L73" s="56" t="str"/>
      <x:c r="M73" s="56" t="str"/>
      <x:c r="N73" s="56" t="str"/>
      <x:c r="O73" s="56" t="str"/>
      <x:c r="P73" s="56" t="str"/>
      <x:c r="Q73" s="56" t="str"/>
      <x:c r="R73" s="56" t="str"/>
      <x:c r="S73" s="60" t="str"/>
      <x:c r="T73" s="56" t="str">
        <x:f>IF(S73="","",TODAY()-S73+1)</x:f>
      </x:c>
      <x:c r="U73" s="56" t="str"/>
      <x:c r="V73" s="56" t="str"/>
      <x:c r="W73" s="56" t="str"/>
      <x:c r="X73" s="56" t="str"/>
      <x:c r="Y73" s="56" t="str"/>
      <x:c r="Z73" s="56" t="str"/>
      <x:c r="AA73" s="56" t="str"/>
      <x:c r="AB73" s="56" t="str"/>
      <x:c r="AC73" s="56" t="str">
        <x:f>IF(AD73="","",IF(AD73&gt;=8,"Crítico",IF(AD73&gt;=5,"Alto",IF(AD73&gt;=3,"Moderado","Baixo"))))</x:f>
      </x:c>
      <x:c r="AD73" s="56" t="str">
        <x:f>IF(A73="","",IF(I73&gt;=70,3,IF(I73&gt;=50,2,IF(I73&gt;0,1,0)))+IF(K73="P1",2,0)+IF(M73="Sim",2,0)+IF(OR(L73="IOT",L73="TQT"),2,0)+IF(OR(V73="LRA KDIGO 3",V73="HD",V73="CRRT"),2,0)+IF(T73&gt;7,1,0)+IF(Y73="Sim",2,0))</x:f>
      </x:c>
    </x:row>
    <x:row r="74">
      <x:c r="A74" s="56" t="str"/>
      <x:c r="B74" s="56" t="str"/>
      <x:c r="C74" s="56" t="str"/>
      <x:c r="D74" s="60" t="str"/>
      <x:c r="E74" s="60" t="str"/>
      <x:c r="F74" s="56" t="str">
        <x:f>IF(E74="","",TODAY()-E74+1)</x:f>
      </x:c>
      <x:c r="G74" s="56" t="str"/>
      <x:c r="H74" s="56" t="str"/>
      <x:c r="I74" s="56" t="str"/>
      <x:c r="J74" s="62" t="str"/>
      <x:c r="K74" s="56" t="str"/>
      <x:c r="L74" s="56" t="str"/>
      <x:c r="M74" s="56" t="str"/>
      <x:c r="N74" s="56" t="str"/>
      <x:c r="O74" s="56" t="str"/>
      <x:c r="P74" s="56" t="str"/>
      <x:c r="Q74" s="56" t="str"/>
      <x:c r="R74" s="56" t="str"/>
      <x:c r="S74" s="60" t="str"/>
      <x:c r="T74" s="56" t="str">
        <x:f>IF(S74="","",TODAY()-S74+1)</x:f>
      </x:c>
      <x:c r="U74" s="56" t="str"/>
      <x:c r="V74" s="56" t="str"/>
      <x:c r="W74" s="56" t="str"/>
      <x:c r="X74" s="56" t="str"/>
      <x:c r="Y74" s="56" t="str"/>
      <x:c r="Z74" s="56" t="str"/>
      <x:c r="AA74" s="56" t="str"/>
      <x:c r="AB74" s="56" t="str"/>
      <x:c r="AC74" s="56" t="str">
        <x:f>IF(AD74="","",IF(AD74&gt;=8,"Crítico",IF(AD74&gt;=5,"Alto",IF(AD74&gt;=3,"Moderado","Baixo"))))</x:f>
      </x:c>
      <x:c r="AD74" s="56" t="str">
        <x:f>IF(A74="","",IF(I74&gt;=70,3,IF(I74&gt;=50,2,IF(I74&gt;0,1,0)))+IF(K74="P1",2,0)+IF(M74="Sim",2,0)+IF(OR(L74="IOT",L74="TQT"),2,0)+IF(OR(V74="LRA KDIGO 3",V74="HD",V74="CRRT"),2,0)+IF(T74&gt;7,1,0)+IF(Y74="Sim",2,0))</x:f>
      </x:c>
    </x:row>
    <x:row r="75">
      <x:c r="A75" s="56" t="str"/>
      <x:c r="B75" s="56" t="str"/>
      <x:c r="C75" s="56" t="str"/>
      <x:c r="D75" s="60" t="str"/>
      <x:c r="E75" s="60" t="str"/>
      <x:c r="F75" s="56" t="str">
        <x:f>IF(E75="","",TODAY()-E75+1)</x:f>
      </x:c>
      <x:c r="G75" s="56" t="str"/>
      <x:c r="H75" s="56" t="str"/>
      <x:c r="I75" s="56" t="str"/>
      <x:c r="J75" s="62" t="str"/>
      <x:c r="K75" s="56" t="str"/>
      <x:c r="L75" s="56" t="str"/>
      <x:c r="M75" s="56" t="str"/>
      <x:c r="N75" s="56" t="str"/>
      <x:c r="O75" s="56" t="str"/>
      <x:c r="P75" s="56" t="str"/>
      <x:c r="Q75" s="56" t="str"/>
      <x:c r="R75" s="56" t="str"/>
      <x:c r="S75" s="60" t="str"/>
      <x:c r="T75" s="56" t="str">
        <x:f>IF(S75="","",TODAY()-S75+1)</x:f>
      </x:c>
      <x:c r="U75" s="56" t="str"/>
      <x:c r="V75" s="56" t="str"/>
      <x:c r="W75" s="56" t="str"/>
      <x:c r="X75" s="56" t="str"/>
      <x:c r="Y75" s="56" t="str"/>
      <x:c r="Z75" s="56" t="str"/>
      <x:c r="AA75" s="56" t="str"/>
      <x:c r="AB75" s="56" t="str"/>
      <x:c r="AC75" s="56" t="str">
        <x:f>IF(AD75="","",IF(AD75&gt;=8,"Crítico",IF(AD75&gt;=5,"Alto",IF(AD75&gt;=3,"Moderado","Baixo"))))</x:f>
      </x:c>
      <x:c r="AD75" s="56" t="str">
        <x:f>IF(A75="","",IF(I75&gt;=70,3,IF(I75&gt;=50,2,IF(I75&gt;0,1,0)))+IF(K75="P1",2,0)+IF(M75="Sim",2,0)+IF(OR(L75="IOT",L75="TQT"),2,0)+IF(OR(V75="LRA KDIGO 3",V75="HD",V75="CRRT"),2,0)+IF(T75&gt;7,1,0)+IF(Y75="Sim",2,0))</x:f>
      </x:c>
    </x:row>
    <x:row r="76">
      <x:c r="A76" s="56" t="str"/>
      <x:c r="B76" s="56" t="str"/>
      <x:c r="C76" s="56" t="str"/>
      <x:c r="D76" s="60" t="str"/>
      <x:c r="E76" s="60" t="str"/>
      <x:c r="F76" s="56" t="str">
        <x:f>IF(E76="","",TODAY()-E76+1)</x:f>
      </x:c>
      <x:c r="G76" s="56" t="str"/>
      <x:c r="H76" s="56" t="str"/>
      <x:c r="I76" s="56" t="str"/>
      <x:c r="J76" s="62" t="str"/>
      <x:c r="K76" s="56" t="str"/>
      <x:c r="L76" s="56" t="str"/>
      <x:c r="M76" s="56" t="str"/>
      <x:c r="N76" s="56" t="str"/>
      <x:c r="O76" s="56" t="str"/>
      <x:c r="P76" s="56" t="str"/>
      <x:c r="Q76" s="56" t="str"/>
      <x:c r="R76" s="56" t="str"/>
      <x:c r="S76" s="60" t="str"/>
      <x:c r="T76" s="56" t="str">
        <x:f>IF(S76="","",TODAY()-S76+1)</x:f>
      </x:c>
      <x:c r="U76" s="56" t="str"/>
      <x:c r="V76" s="56" t="str"/>
      <x:c r="W76" s="56" t="str"/>
      <x:c r="X76" s="56" t="str"/>
      <x:c r="Y76" s="56" t="str"/>
      <x:c r="Z76" s="56" t="str"/>
      <x:c r="AA76" s="56" t="str"/>
      <x:c r="AB76" s="56" t="str"/>
      <x:c r="AC76" s="56" t="str">
        <x:f>IF(AD76="","",IF(AD76&gt;=8,"Crítico",IF(AD76&gt;=5,"Alto",IF(AD76&gt;=3,"Moderado","Baixo"))))</x:f>
      </x:c>
      <x:c r="AD76" s="56" t="str">
        <x:f>IF(A76="","",IF(I76&gt;=70,3,IF(I76&gt;=50,2,IF(I76&gt;0,1,0)))+IF(K76="P1",2,0)+IF(M76="Sim",2,0)+IF(OR(L76="IOT",L76="TQT"),2,0)+IF(OR(V76="LRA KDIGO 3",V76="HD",V76="CRRT"),2,0)+IF(T76&gt;7,1,0)+IF(Y76="Sim",2,0))</x:f>
      </x:c>
    </x:row>
    <x:row r="77">
      <x:c r="A77" s="56" t="str"/>
      <x:c r="B77" s="56" t="str"/>
      <x:c r="C77" s="56" t="str"/>
      <x:c r="D77" s="60" t="str"/>
      <x:c r="E77" s="60" t="str"/>
      <x:c r="F77" s="56" t="str">
        <x:f>IF(E77="","",TODAY()-E77+1)</x:f>
      </x:c>
      <x:c r="G77" s="56" t="str"/>
      <x:c r="H77" s="56" t="str"/>
      <x:c r="I77" s="56" t="str"/>
      <x:c r="J77" s="62" t="str"/>
      <x:c r="K77" s="56" t="str"/>
      <x:c r="L77" s="56" t="str"/>
      <x:c r="M77" s="56" t="str"/>
      <x:c r="N77" s="56" t="str"/>
      <x:c r="O77" s="56" t="str"/>
      <x:c r="P77" s="56" t="str"/>
      <x:c r="Q77" s="56" t="str"/>
      <x:c r="R77" s="56" t="str"/>
      <x:c r="S77" s="60" t="str"/>
      <x:c r="T77" s="56" t="str">
        <x:f>IF(S77="","",TODAY()-S77+1)</x:f>
      </x:c>
      <x:c r="U77" s="56" t="str"/>
      <x:c r="V77" s="56" t="str"/>
      <x:c r="W77" s="56" t="str"/>
      <x:c r="X77" s="56" t="str"/>
      <x:c r="Y77" s="56" t="str"/>
      <x:c r="Z77" s="56" t="str"/>
      <x:c r="AA77" s="56" t="str"/>
      <x:c r="AB77" s="56" t="str"/>
      <x:c r="AC77" s="56" t="str">
        <x:f>IF(AD77="","",IF(AD77&gt;=8,"Crítico",IF(AD77&gt;=5,"Alto",IF(AD77&gt;=3,"Moderado","Baixo"))))</x:f>
      </x:c>
      <x:c r="AD77" s="56" t="str">
        <x:f>IF(A77="","",IF(I77&gt;=70,3,IF(I77&gt;=50,2,IF(I77&gt;0,1,0)))+IF(K77="P1",2,0)+IF(M77="Sim",2,0)+IF(OR(L77="IOT",L77="TQT"),2,0)+IF(OR(V77="LRA KDIGO 3",V77="HD",V77="CRRT"),2,0)+IF(T77&gt;7,1,0)+IF(Y77="Sim",2,0))</x:f>
      </x:c>
    </x:row>
    <x:row r="78">
      <x:c r="A78" s="56" t="str"/>
      <x:c r="B78" s="56" t="str"/>
      <x:c r="C78" s="56" t="str"/>
      <x:c r="D78" s="60" t="str"/>
      <x:c r="E78" s="60" t="str"/>
      <x:c r="F78" s="56" t="str">
        <x:f>IF(E78="","",TODAY()-E78+1)</x:f>
      </x:c>
      <x:c r="G78" s="56" t="str"/>
      <x:c r="H78" s="56" t="str"/>
      <x:c r="I78" s="56" t="str"/>
      <x:c r="J78" s="62" t="str"/>
      <x:c r="K78" s="56" t="str"/>
      <x:c r="L78" s="56" t="str"/>
      <x:c r="M78" s="56" t="str"/>
      <x:c r="N78" s="56" t="str"/>
      <x:c r="O78" s="56" t="str"/>
      <x:c r="P78" s="56" t="str"/>
      <x:c r="Q78" s="56" t="str"/>
      <x:c r="R78" s="56" t="str"/>
      <x:c r="S78" s="60" t="str"/>
      <x:c r="T78" s="56" t="str">
        <x:f>IF(S78="","",TODAY()-S78+1)</x:f>
      </x:c>
      <x:c r="U78" s="56" t="str"/>
      <x:c r="V78" s="56" t="str"/>
      <x:c r="W78" s="56" t="str"/>
      <x:c r="X78" s="56" t="str"/>
      <x:c r="Y78" s="56" t="str"/>
      <x:c r="Z78" s="56" t="str"/>
      <x:c r="AA78" s="56" t="str"/>
      <x:c r="AB78" s="56" t="str"/>
      <x:c r="AC78" s="56" t="str">
        <x:f>IF(AD78="","",IF(AD78&gt;=8,"Crítico",IF(AD78&gt;=5,"Alto",IF(AD78&gt;=3,"Moderado","Baixo"))))</x:f>
      </x:c>
      <x:c r="AD78" s="56" t="str">
        <x:f>IF(A78="","",IF(I78&gt;=70,3,IF(I78&gt;=50,2,IF(I78&gt;0,1,0)))+IF(K78="P1",2,0)+IF(M78="Sim",2,0)+IF(OR(L78="IOT",L78="TQT"),2,0)+IF(OR(V78="LRA KDIGO 3",V78="HD",V78="CRRT"),2,0)+IF(T78&gt;7,1,0)+IF(Y78="Sim",2,0))</x:f>
      </x:c>
    </x:row>
    <x:row r="79">
      <x:c r="A79" s="56" t="str"/>
      <x:c r="B79" s="56" t="str"/>
      <x:c r="C79" s="56" t="str"/>
      <x:c r="D79" s="60" t="str"/>
      <x:c r="E79" s="60" t="str"/>
      <x:c r="F79" s="56" t="str">
        <x:f>IF(E79="","",TODAY()-E79+1)</x:f>
      </x:c>
      <x:c r="G79" s="56" t="str"/>
      <x:c r="H79" s="56" t="str"/>
      <x:c r="I79" s="56" t="str"/>
      <x:c r="J79" s="62" t="str"/>
      <x:c r="K79" s="56" t="str"/>
      <x:c r="L79" s="56" t="str"/>
      <x:c r="M79" s="56" t="str"/>
      <x:c r="N79" s="56" t="str"/>
      <x:c r="O79" s="56" t="str"/>
      <x:c r="P79" s="56" t="str"/>
      <x:c r="Q79" s="56" t="str"/>
      <x:c r="R79" s="56" t="str"/>
      <x:c r="S79" s="60" t="str"/>
      <x:c r="T79" s="56" t="str">
        <x:f>IF(S79="","",TODAY()-S79+1)</x:f>
      </x:c>
      <x:c r="U79" s="56" t="str"/>
      <x:c r="V79" s="56" t="str"/>
      <x:c r="W79" s="56" t="str"/>
      <x:c r="X79" s="56" t="str"/>
      <x:c r="Y79" s="56" t="str"/>
      <x:c r="Z79" s="56" t="str"/>
      <x:c r="AA79" s="56" t="str"/>
      <x:c r="AB79" s="56" t="str"/>
      <x:c r="AC79" s="56" t="str">
        <x:f>IF(AD79="","",IF(AD79&gt;=8,"Crítico",IF(AD79&gt;=5,"Alto",IF(AD79&gt;=3,"Moderado","Baixo"))))</x:f>
      </x:c>
      <x:c r="AD79" s="56" t="str">
        <x:f>IF(A79="","",IF(I79&gt;=70,3,IF(I79&gt;=50,2,IF(I79&gt;0,1,0)))+IF(K79="P1",2,0)+IF(M79="Sim",2,0)+IF(OR(L79="IOT",L79="TQT"),2,0)+IF(OR(V79="LRA KDIGO 3",V79="HD",V79="CRRT"),2,0)+IF(T79&gt;7,1,0)+IF(Y79="Sim",2,0))</x:f>
      </x:c>
    </x:row>
    <x:row r="80">
      <x:c r="A80" s="56" t="str"/>
      <x:c r="B80" s="56" t="str"/>
      <x:c r="C80" s="56" t="str"/>
      <x:c r="D80" s="60" t="str"/>
      <x:c r="E80" s="60" t="str"/>
      <x:c r="F80" s="56" t="str">
        <x:f>IF(E80="","",TODAY()-E80+1)</x:f>
      </x:c>
      <x:c r="G80" s="56" t="str"/>
      <x:c r="H80" s="56" t="str"/>
      <x:c r="I80" s="56" t="str"/>
      <x:c r="J80" s="62" t="str"/>
      <x:c r="K80" s="56" t="str"/>
      <x:c r="L80" s="56" t="str"/>
      <x:c r="M80" s="56" t="str"/>
      <x:c r="N80" s="56" t="str"/>
      <x:c r="O80" s="56" t="str"/>
      <x:c r="P80" s="56" t="str"/>
      <x:c r="Q80" s="56" t="str"/>
      <x:c r="R80" s="56" t="str"/>
      <x:c r="S80" s="60" t="str"/>
      <x:c r="T80" s="56" t="str">
        <x:f>IF(S80="","",TODAY()-S80+1)</x:f>
      </x:c>
      <x:c r="U80" s="56" t="str"/>
      <x:c r="V80" s="56" t="str"/>
      <x:c r="W80" s="56" t="str"/>
      <x:c r="X80" s="56" t="str"/>
      <x:c r="Y80" s="56" t="str"/>
      <x:c r="Z80" s="56" t="str"/>
      <x:c r="AA80" s="56" t="str"/>
      <x:c r="AB80" s="56" t="str"/>
      <x:c r="AC80" s="56" t="str">
        <x:f>IF(AD80="","",IF(AD80&gt;=8,"Crítico",IF(AD80&gt;=5,"Alto",IF(AD80&gt;=3,"Moderado","Baixo"))))</x:f>
      </x:c>
      <x:c r="AD80" s="56" t="str">
        <x:f>IF(A80="","",IF(I80&gt;=70,3,IF(I80&gt;=50,2,IF(I80&gt;0,1,0)))+IF(K80="P1",2,0)+IF(M80="Sim",2,0)+IF(OR(L80="IOT",L80="TQT"),2,0)+IF(OR(V80="LRA KDIGO 3",V80="HD",V80="CRRT"),2,0)+IF(T80&gt;7,1,0)+IF(Y80="Sim",2,0))</x:f>
      </x:c>
    </x:row>
    <x:row r="81">
      <x:c r="A81" s="56" t="str"/>
      <x:c r="B81" s="56" t="str"/>
      <x:c r="C81" s="56" t="str"/>
      <x:c r="D81" s="60" t="str"/>
      <x:c r="E81" s="60" t="str"/>
      <x:c r="F81" s="56" t="str">
        <x:f>IF(E81="","",TODAY()-E81+1)</x:f>
      </x:c>
      <x:c r="G81" s="56" t="str"/>
      <x:c r="H81" s="56" t="str"/>
      <x:c r="I81" s="56" t="str"/>
      <x:c r="J81" s="62" t="str"/>
      <x:c r="K81" s="56" t="str"/>
      <x:c r="L81" s="56" t="str"/>
      <x:c r="M81" s="56" t="str"/>
      <x:c r="N81" s="56" t="str"/>
      <x:c r="O81" s="56" t="str"/>
      <x:c r="P81" s="56" t="str"/>
      <x:c r="Q81" s="56" t="str"/>
      <x:c r="R81" s="56" t="str"/>
      <x:c r="S81" s="60" t="str"/>
      <x:c r="T81" s="56" t="str">
        <x:f>IF(S81="","",TODAY()-S81+1)</x:f>
      </x:c>
      <x:c r="U81" s="56" t="str"/>
      <x:c r="V81" s="56" t="str"/>
      <x:c r="W81" s="56" t="str"/>
      <x:c r="X81" s="56" t="str"/>
      <x:c r="Y81" s="56" t="str"/>
      <x:c r="Z81" s="56" t="str"/>
      <x:c r="AA81" s="56" t="str"/>
      <x:c r="AB81" s="56" t="str"/>
      <x:c r="AC81" s="56" t="str">
        <x:f>IF(AD81="","",IF(AD81&gt;=8,"Crítico",IF(AD81&gt;=5,"Alto",IF(AD81&gt;=3,"Moderado","Baixo"))))</x:f>
      </x:c>
      <x:c r="AD81" s="56" t="str">
        <x:f>IF(A81="","",IF(I81&gt;=70,3,IF(I81&gt;=50,2,IF(I81&gt;0,1,0)))+IF(K81="P1",2,0)+IF(M81="Sim",2,0)+IF(OR(L81="IOT",L81="TQT"),2,0)+IF(OR(V81="LRA KDIGO 3",V81="HD",V81="CRRT"),2,0)+IF(T81&gt;7,1,0)+IF(Y81="Sim",2,0))</x:f>
      </x:c>
    </x:row>
    <x:row r="82">
      <x:c r="A82" s="56" t="str"/>
      <x:c r="B82" s="56" t="str"/>
      <x:c r="C82" s="56" t="str"/>
      <x:c r="D82" s="60" t="str"/>
      <x:c r="E82" s="60" t="str"/>
      <x:c r="F82" s="56" t="str">
        <x:f>IF(E82="","",TODAY()-E82+1)</x:f>
      </x:c>
      <x:c r="G82" s="56" t="str"/>
      <x:c r="H82" s="56" t="str"/>
      <x:c r="I82" s="56" t="str"/>
      <x:c r="J82" s="62" t="str"/>
      <x:c r="K82" s="56" t="str"/>
      <x:c r="L82" s="56" t="str"/>
      <x:c r="M82" s="56" t="str"/>
      <x:c r="N82" s="56" t="str"/>
      <x:c r="O82" s="56" t="str"/>
      <x:c r="P82" s="56" t="str"/>
      <x:c r="Q82" s="56" t="str"/>
      <x:c r="R82" s="56" t="str"/>
      <x:c r="S82" s="60" t="str"/>
      <x:c r="T82" s="56" t="str">
        <x:f>IF(S82="","",TODAY()-S82+1)</x:f>
      </x:c>
      <x:c r="U82" s="56" t="str"/>
      <x:c r="V82" s="56" t="str"/>
      <x:c r="W82" s="56" t="str"/>
      <x:c r="X82" s="56" t="str"/>
      <x:c r="Y82" s="56" t="str"/>
      <x:c r="Z82" s="56" t="str"/>
      <x:c r="AA82" s="56" t="str"/>
      <x:c r="AB82" s="56" t="str"/>
      <x:c r="AC82" s="56" t="str">
        <x:f>IF(AD82="","",IF(AD82&gt;=8,"Crítico",IF(AD82&gt;=5,"Alto",IF(AD82&gt;=3,"Moderado","Baixo"))))</x:f>
      </x:c>
      <x:c r="AD82" s="56" t="str">
        <x:f>IF(A82="","",IF(I82&gt;=70,3,IF(I82&gt;=50,2,IF(I82&gt;0,1,0)))+IF(K82="P1",2,0)+IF(M82="Sim",2,0)+IF(OR(L82="IOT",L82="TQT"),2,0)+IF(OR(V82="LRA KDIGO 3",V82="HD",V82="CRRT"),2,0)+IF(T82&gt;7,1,0)+IF(Y82="Sim",2,0))</x:f>
      </x:c>
    </x:row>
    <x:row r="83">
      <x:c r="A83" s="56" t="str"/>
      <x:c r="B83" s="56" t="str"/>
      <x:c r="C83" s="56" t="str"/>
      <x:c r="D83" s="60" t="str"/>
      <x:c r="E83" s="60" t="str"/>
      <x:c r="F83" s="56" t="str">
        <x:f>IF(E83="","",TODAY()-E83+1)</x:f>
      </x:c>
      <x:c r="G83" s="56" t="str"/>
      <x:c r="H83" s="56" t="str"/>
      <x:c r="I83" s="56" t="str"/>
      <x:c r="J83" s="62" t="str"/>
      <x:c r="K83" s="56" t="str"/>
      <x:c r="L83" s="56" t="str"/>
      <x:c r="M83" s="56" t="str"/>
      <x:c r="N83" s="56" t="str"/>
      <x:c r="O83" s="56" t="str"/>
      <x:c r="P83" s="56" t="str"/>
      <x:c r="Q83" s="56" t="str"/>
      <x:c r="R83" s="56" t="str"/>
      <x:c r="S83" s="60" t="str"/>
      <x:c r="T83" s="56" t="str">
        <x:f>IF(S83="","",TODAY()-S83+1)</x:f>
      </x:c>
      <x:c r="U83" s="56" t="str"/>
      <x:c r="V83" s="56" t="str"/>
      <x:c r="W83" s="56" t="str"/>
      <x:c r="X83" s="56" t="str"/>
      <x:c r="Y83" s="56" t="str"/>
      <x:c r="Z83" s="56" t="str"/>
      <x:c r="AA83" s="56" t="str"/>
      <x:c r="AB83" s="56" t="str"/>
      <x:c r="AC83" s="56" t="str">
        <x:f>IF(AD83="","",IF(AD83&gt;=8,"Crítico",IF(AD83&gt;=5,"Alto",IF(AD83&gt;=3,"Moderado","Baixo"))))</x:f>
      </x:c>
      <x:c r="AD83" s="56" t="str">
        <x:f>IF(A83="","",IF(I83&gt;=70,3,IF(I83&gt;=50,2,IF(I83&gt;0,1,0)))+IF(K83="P1",2,0)+IF(M83="Sim",2,0)+IF(OR(L83="IOT",L83="TQT"),2,0)+IF(OR(V83="LRA KDIGO 3",V83="HD",V83="CRRT"),2,0)+IF(T83&gt;7,1,0)+IF(Y83="Sim",2,0))</x:f>
      </x:c>
    </x:row>
    <x:row r="84">
      <x:c r="A84" s="56" t="str"/>
      <x:c r="B84" s="56" t="str"/>
      <x:c r="C84" s="56" t="str"/>
      <x:c r="D84" s="60" t="str"/>
      <x:c r="E84" s="60" t="str"/>
      <x:c r="F84" s="56" t="str">
        <x:f>IF(E84="","",TODAY()-E84+1)</x:f>
      </x:c>
      <x:c r="G84" s="56" t="str"/>
      <x:c r="H84" s="56" t="str"/>
      <x:c r="I84" s="56" t="str"/>
      <x:c r="J84" s="62" t="str"/>
      <x:c r="K84" s="56" t="str"/>
      <x:c r="L84" s="56" t="str"/>
      <x:c r="M84" s="56" t="str"/>
      <x:c r="N84" s="56" t="str"/>
      <x:c r="O84" s="56" t="str"/>
      <x:c r="P84" s="56" t="str"/>
      <x:c r="Q84" s="56" t="str"/>
      <x:c r="R84" s="56" t="str"/>
      <x:c r="S84" s="60" t="str"/>
      <x:c r="T84" s="56" t="str">
        <x:f>IF(S84="","",TODAY()-S84+1)</x:f>
      </x:c>
      <x:c r="U84" s="56" t="str"/>
      <x:c r="V84" s="56" t="str"/>
      <x:c r="W84" s="56" t="str"/>
      <x:c r="X84" s="56" t="str"/>
      <x:c r="Y84" s="56" t="str"/>
      <x:c r="Z84" s="56" t="str"/>
      <x:c r="AA84" s="56" t="str"/>
      <x:c r="AB84" s="56" t="str"/>
      <x:c r="AC84" s="56" t="str">
        <x:f>IF(AD84="","",IF(AD84&gt;=8,"Crítico",IF(AD84&gt;=5,"Alto",IF(AD84&gt;=3,"Moderado","Baixo"))))</x:f>
      </x:c>
      <x:c r="AD84" s="56" t="str">
        <x:f>IF(A84="","",IF(I84&gt;=70,3,IF(I84&gt;=50,2,IF(I84&gt;0,1,0)))+IF(K84="P1",2,0)+IF(M84="Sim",2,0)+IF(OR(L84="IOT",L84="TQT"),2,0)+IF(OR(V84="LRA KDIGO 3",V84="HD",V84="CRRT"),2,0)+IF(T84&gt;7,1,0)+IF(Y84="Sim",2,0))</x:f>
      </x:c>
    </x:row>
    <x:row r="85">
      <x:c r="A85" s="56" t="str"/>
      <x:c r="B85" s="56" t="str"/>
      <x:c r="C85" s="56" t="str"/>
      <x:c r="D85" s="60" t="str"/>
      <x:c r="E85" s="60" t="str"/>
      <x:c r="F85" s="56" t="str">
        <x:f>IF(E85="","",TODAY()-E85+1)</x:f>
      </x:c>
      <x:c r="G85" s="56" t="str"/>
      <x:c r="H85" s="56" t="str"/>
      <x:c r="I85" s="56" t="str"/>
      <x:c r="J85" s="62" t="str"/>
      <x:c r="K85" s="56" t="str"/>
      <x:c r="L85" s="56" t="str"/>
      <x:c r="M85" s="56" t="str"/>
      <x:c r="N85" s="56" t="str"/>
      <x:c r="O85" s="56" t="str"/>
      <x:c r="P85" s="56" t="str"/>
      <x:c r="Q85" s="56" t="str"/>
      <x:c r="R85" s="56" t="str"/>
      <x:c r="S85" s="60" t="str"/>
      <x:c r="T85" s="56" t="str">
        <x:f>IF(S85="","",TODAY()-S85+1)</x:f>
      </x:c>
      <x:c r="U85" s="56" t="str"/>
      <x:c r="V85" s="56" t="str"/>
      <x:c r="W85" s="56" t="str"/>
      <x:c r="X85" s="56" t="str"/>
      <x:c r="Y85" s="56" t="str"/>
      <x:c r="Z85" s="56" t="str"/>
      <x:c r="AA85" s="56" t="str"/>
      <x:c r="AB85" s="56" t="str"/>
      <x:c r="AC85" s="56" t="str">
        <x:f>IF(AD85="","",IF(AD85&gt;=8,"Crítico",IF(AD85&gt;=5,"Alto",IF(AD85&gt;=3,"Moderado","Baixo"))))</x:f>
      </x:c>
      <x:c r="AD85" s="56" t="str">
        <x:f>IF(A85="","",IF(I85&gt;=70,3,IF(I85&gt;=50,2,IF(I85&gt;0,1,0)))+IF(K85="P1",2,0)+IF(M85="Sim",2,0)+IF(OR(L85="IOT",L85="TQT"),2,0)+IF(OR(V85="LRA KDIGO 3",V85="HD",V85="CRRT"),2,0)+IF(T85&gt;7,1,0)+IF(Y85="Sim",2,0))</x:f>
      </x:c>
    </x:row>
    <x:row r="86">
      <x:c r="A86" s="56" t="str"/>
      <x:c r="B86" s="56" t="str"/>
      <x:c r="C86" s="56" t="str"/>
      <x:c r="D86" s="60" t="str"/>
      <x:c r="E86" s="60" t="str"/>
      <x:c r="F86" s="56" t="str">
        <x:f>IF(E86="","",TODAY()-E86+1)</x:f>
      </x:c>
      <x:c r="G86" s="56" t="str"/>
      <x:c r="H86" s="56" t="str"/>
      <x:c r="I86" s="56" t="str"/>
      <x:c r="J86" s="62" t="str"/>
      <x:c r="K86" s="56" t="str"/>
      <x:c r="L86" s="56" t="str"/>
      <x:c r="M86" s="56" t="str"/>
      <x:c r="N86" s="56" t="str"/>
      <x:c r="O86" s="56" t="str"/>
      <x:c r="P86" s="56" t="str"/>
      <x:c r="Q86" s="56" t="str"/>
      <x:c r="R86" s="56" t="str"/>
      <x:c r="S86" s="60" t="str"/>
      <x:c r="T86" s="56" t="str">
        <x:f>IF(S86="","",TODAY()-S86+1)</x:f>
      </x:c>
      <x:c r="U86" s="56" t="str"/>
      <x:c r="V86" s="56" t="str"/>
      <x:c r="W86" s="56" t="str"/>
      <x:c r="X86" s="56" t="str"/>
      <x:c r="Y86" s="56" t="str"/>
      <x:c r="Z86" s="56" t="str"/>
      <x:c r="AA86" s="56" t="str"/>
      <x:c r="AB86" s="56" t="str"/>
      <x:c r="AC86" s="56" t="str">
        <x:f>IF(AD86="","",IF(AD86&gt;=8,"Crítico",IF(AD86&gt;=5,"Alto",IF(AD86&gt;=3,"Moderado","Baixo"))))</x:f>
      </x:c>
      <x:c r="AD86" s="56" t="str">
        <x:f>IF(A86="","",IF(I86&gt;=70,3,IF(I86&gt;=50,2,IF(I86&gt;0,1,0)))+IF(K86="P1",2,0)+IF(M86="Sim",2,0)+IF(OR(L86="IOT",L86="TQT"),2,0)+IF(OR(V86="LRA KDIGO 3",V86="HD",V86="CRRT"),2,0)+IF(T86&gt;7,1,0)+IF(Y86="Sim",2,0))</x:f>
      </x:c>
    </x:row>
    <x:row r="87">
      <x:c r="A87" s="56" t="str"/>
      <x:c r="B87" s="56" t="str"/>
      <x:c r="C87" s="56" t="str"/>
      <x:c r="D87" s="60" t="str"/>
      <x:c r="E87" s="60" t="str"/>
      <x:c r="F87" s="56" t="str">
        <x:f>IF(E87="","",TODAY()-E87+1)</x:f>
      </x:c>
      <x:c r="G87" s="56" t="str"/>
      <x:c r="H87" s="56" t="str"/>
      <x:c r="I87" s="56" t="str"/>
      <x:c r="J87" s="62" t="str"/>
      <x:c r="K87" s="56" t="str"/>
      <x:c r="L87" s="56" t="str"/>
      <x:c r="M87" s="56" t="str"/>
      <x:c r="N87" s="56" t="str"/>
      <x:c r="O87" s="56" t="str"/>
      <x:c r="P87" s="56" t="str"/>
      <x:c r="Q87" s="56" t="str"/>
      <x:c r="R87" s="56" t="str"/>
      <x:c r="S87" s="60" t="str"/>
      <x:c r="T87" s="56" t="str">
        <x:f>IF(S87="","",TODAY()-S87+1)</x:f>
      </x:c>
      <x:c r="U87" s="56" t="str"/>
      <x:c r="V87" s="56" t="str"/>
      <x:c r="W87" s="56" t="str"/>
      <x:c r="X87" s="56" t="str"/>
      <x:c r="Y87" s="56" t="str"/>
      <x:c r="Z87" s="56" t="str"/>
      <x:c r="AA87" s="56" t="str"/>
      <x:c r="AB87" s="56" t="str"/>
      <x:c r="AC87" s="56" t="str">
        <x:f>IF(AD87="","",IF(AD87&gt;=8,"Crítico",IF(AD87&gt;=5,"Alto",IF(AD87&gt;=3,"Moderado","Baixo"))))</x:f>
      </x:c>
      <x:c r="AD87" s="56" t="str">
        <x:f>IF(A87="","",IF(I87&gt;=70,3,IF(I87&gt;=50,2,IF(I87&gt;0,1,0)))+IF(K87="P1",2,0)+IF(M87="Sim",2,0)+IF(OR(L87="IOT",L87="TQT"),2,0)+IF(OR(V87="LRA KDIGO 3",V87="HD",V87="CRRT"),2,0)+IF(T87&gt;7,1,0)+IF(Y87="Sim",2,0))</x:f>
      </x:c>
    </x:row>
    <x:row r="88">
      <x:c r="A88" s="56" t="str"/>
      <x:c r="B88" s="56" t="str"/>
      <x:c r="C88" s="56" t="str"/>
      <x:c r="D88" s="60" t="str"/>
      <x:c r="E88" s="60" t="str"/>
      <x:c r="F88" s="56" t="str">
        <x:f>IF(E88="","",TODAY()-E88+1)</x:f>
      </x:c>
      <x:c r="G88" s="56" t="str"/>
      <x:c r="H88" s="56" t="str"/>
      <x:c r="I88" s="56" t="str"/>
      <x:c r="J88" s="62" t="str"/>
      <x:c r="K88" s="56" t="str"/>
      <x:c r="L88" s="56" t="str"/>
      <x:c r="M88" s="56" t="str"/>
      <x:c r="N88" s="56" t="str"/>
      <x:c r="O88" s="56" t="str"/>
      <x:c r="P88" s="56" t="str"/>
      <x:c r="Q88" s="56" t="str"/>
      <x:c r="R88" s="56" t="str"/>
      <x:c r="S88" s="60" t="str"/>
      <x:c r="T88" s="56" t="str">
        <x:f>IF(S88="","",TODAY()-S88+1)</x:f>
      </x:c>
      <x:c r="U88" s="56" t="str"/>
      <x:c r="V88" s="56" t="str"/>
      <x:c r="W88" s="56" t="str"/>
      <x:c r="X88" s="56" t="str"/>
      <x:c r="Y88" s="56" t="str"/>
      <x:c r="Z88" s="56" t="str"/>
      <x:c r="AA88" s="56" t="str"/>
      <x:c r="AB88" s="56" t="str"/>
      <x:c r="AC88" s="56" t="str">
        <x:f>IF(AD88="","",IF(AD88&gt;=8,"Crítico",IF(AD88&gt;=5,"Alto",IF(AD88&gt;=3,"Moderado","Baixo"))))</x:f>
      </x:c>
      <x:c r="AD88" s="56" t="str">
        <x:f>IF(A88="","",IF(I88&gt;=70,3,IF(I88&gt;=50,2,IF(I88&gt;0,1,0)))+IF(K88="P1",2,0)+IF(M88="Sim",2,0)+IF(OR(L88="IOT",L88="TQT"),2,0)+IF(OR(V88="LRA KDIGO 3",V88="HD",V88="CRRT"),2,0)+IF(T88&gt;7,1,0)+IF(Y88="Sim",2,0))</x:f>
      </x:c>
    </x:row>
    <x:row r="89">
      <x:c r="A89" s="56" t="str"/>
      <x:c r="B89" s="56" t="str"/>
      <x:c r="C89" s="56" t="str"/>
      <x:c r="D89" s="60" t="str"/>
      <x:c r="E89" s="60" t="str"/>
      <x:c r="F89" s="56" t="str">
        <x:f>IF(E89="","",TODAY()-E89+1)</x:f>
      </x:c>
      <x:c r="G89" s="56" t="str"/>
      <x:c r="H89" s="56" t="str"/>
      <x:c r="I89" s="56" t="str"/>
      <x:c r="J89" s="62" t="str"/>
      <x:c r="K89" s="56" t="str"/>
      <x:c r="L89" s="56" t="str"/>
      <x:c r="M89" s="56" t="str"/>
      <x:c r="N89" s="56" t="str"/>
      <x:c r="O89" s="56" t="str"/>
      <x:c r="P89" s="56" t="str"/>
      <x:c r="Q89" s="56" t="str"/>
      <x:c r="R89" s="56" t="str"/>
      <x:c r="S89" s="60" t="str"/>
      <x:c r="T89" s="56" t="str">
        <x:f>IF(S89="","",TODAY()-S89+1)</x:f>
      </x:c>
      <x:c r="U89" s="56" t="str"/>
      <x:c r="V89" s="56" t="str"/>
      <x:c r="W89" s="56" t="str"/>
      <x:c r="X89" s="56" t="str"/>
      <x:c r="Y89" s="56" t="str"/>
      <x:c r="Z89" s="56" t="str"/>
      <x:c r="AA89" s="56" t="str"/>
      <x:c r="AB89" s="56" t="str"/>
      <x:c r="AC89" s="56" t="str">
        <x:f>IF(AD89="","",IF(AD89&gt;=8,"Crítico",IF(AD89&gt;=5,"Alto",IF(AD89&gt;=3,"Moderado","Baixo"))))</x:f>
      </x:c>
      <x:c r="AD89" s="56" t="str">
        <x:f>IF(A89="","",IF(I89&gt;=70,3,IF(I89&gt;=50,2,IF(I89&gt;0,1,0)))+IF(K89="P1",2,0)+IF(M89="Sim",2,0)+IF(OR(L89="IOT",L89="TQT"),2,0)+IF(OR(V89="LRA KDIGO 3",V89="HD",V89="CRRT"),2,0)+IF(T89&gt;7,1,0)+IF(Y89="Sim",2,0))</x:f>
      </x:c>
    </x:row>
    <x:row r="90">
      <x:c r="A90" s="56" t="str"/>
      <x:c r="B90" s="56" t="str"/>
      <x:c r="C90" s="56" t="str"/>
      <x:c r="D90" s="60" t="str"/>
      <x:c r="E90" s="60" t="str"/>
      <x:c r="F90" s="56" t="str">
        <x:f>IF(E90="","",TODAY()-E90+1)</x:f>
      </x:c>
      <x:c r="G90" s="56" t="str"/>
      <x:c r="H90" s="56" t="str"/>
      <x:c r="I90" s="56" t="str"/>
      <x:c r="J90" s="62" t="str"/>
      <x:c r="K90" s="56" t="str"/>
      <x:c r="L90" s="56" t="str"/>
      <x:c r="M90" s="56" t="str"/>
      <x:c r="N90" s="56" t="str"/>
      <x:c r="O90" s="56" t="str"/>
      <x:c r="P90" s="56" t="str"/>
      <x:c r="Q90" s="56" t="str"/>
      <x:c r="R90" s="56" t="str"/>
      <x:c r="S90" s="60" t="str"/>
      <x:c r="T90" s="56" t="str">
        <x:f>IF(S90="","",TODAY()-S90+1)</x:f>
      </x:c>
      <x:c r="U90" s="56" t="str"/>
      <x:c r="V90" s="56" t="str"/>
      <x:c r="W90" s="56" t="str"/>
      <x:c r="X90" s="56" t="str"/>
      <x:c r="Y90" s="56" t="str"/>
      <x:c r="Z90" s="56" t="str"/>
      <x:c r="AA90" s="56" t="str"/>
      <x:c r="AB90" s="56" t="str"/>
      <x:c r="AC90" s="56" t="str">
        <x:f>IF(AD90="","",IF(AD90&gt;=8,"Crítico",IF(AD90&gt;=5,"Alto",IF(AD90&gt;=3,"Moderado","Baixo"))))</x:f>
      </x:c>
      <x:c r="AD90" s="56" t="str">
        <x:f>IF(A90="","",IF(I90&gt;=70,3,IF(I90&gt;=50,2,IF(I90&gt;0,1,0)))+IF(K90="P1",2,0)+IF(M90="Sim",2,0)+IF(OR(L90="IOT",L90="TQT"),2,0)+IF(OR(V90="LRA KDIGO 3",V90="HD",V90="CRRT"),2,0)+IF(T90&gt;7,1,0)+IF(Y90="Sim",2,0))</x:f>
      </x:c>
    </x:row>
    <x:row r="91">
      <x:c r="A91" s="56" t="str"/>
      <x:c r="B91" s="56" t="str"/>
      <x:c r="C91" s="56" t="str"/>
      <x:c r="D91" s="60" t="str"/>
      <x:c r="E91" s="60" t="str"/>
      <x:c r="F91" s="56" t="str">
        <x:f>IF(E91="","",TODAY()-E91+1)</x:f>
      </x:c>
      <x:c r="G91" s="56" t="str"/>
      <x:c r="H91" s="56" t="str"/>
      <x:c r="I91" s="56" t="str"/>
      <x:c r="J91" s="62" t="str"/>
      <x:c r="K91" s="56" t="str"/>
      <x:c r="L91" s="56" t="str"/>
      <x:c r="M91" s="56" t="str"/>
      <x:c r="N91" s="56" t="str"/>
      <x:c r="O91" s="56" t="str"/>
      <x:c r="P91" s="56" t="str"/>
      <x:c r="Q91" s="56" t="str"/>
      <x:c r="R91" s="56" t="str"/>
      <x:c r="S91" s="60" t="str"/>
      <x:c r="T91" s="56" t="str">
        <x:f>IF(S91="","",TODAY()-S91+1)</x:f>
      </x:c>
      <x:c r="U91" s="56" t="str"/>
      <x:c r="V91" s="56" t="str"/>
      <x:c r="W91" s="56" t="str"/>
      <x:c r="X91" s="56" t="str"/>
      <x:c r="Y91" s="56" t="str"/>
      <x:c r="Z91" s="56" t="str"/>
      <x:c r="AA91" s="56" t="str"/>
      <x:c r="AB91" s="56" t="str"/>
      <x:c r="AC91" s="56" t="str">
        <x:f>IF(AD91="","",IF(AD91&gt;=8,"Crítico",IF(AD91&gt;=5,"Alto",IF(AD91&gt;=3,"Moderado","Baixo"))))</x:f>
      </x:c>
      <x:c r="AD91" s="56" t="str">
        <x:f>IF(A91="","",IF(I91&gt;=70,3,IF(I91&gt;=50,2,IF(I91&gt;0,1,0)))+IF(K91="P1",2,0)+IF(M91="Sim",2,0)+IF(OR(L91="IOT",L91="TQT"),2,0)+IF(OR(V91="LRA KDIGO 3",V91="HD",V91="CRRT"),2,0)+IF(T91&gt;7,1,0)+IF(Y91="Sim",2,0))</x:f>
      </x:c>
    </x:row>
    <x:row r="92">
      <x:c r="A92" s="56" t="str"/>
      <x:c r="B92" s="56" t="str"/>
      <x:c r="C92" s="56" t="str"/>
      <x:c r="D92" s="60" t="str"/>
      <x:c r="E92" s="60" t="str"/>
      <x:c r="F92" s="56" t="str">
        <x:f>IF(E92="","",TODAY()-E92+1)</x:f>
      </x:c>
      <x:c r="G92" s="56" t="str"/>
      <x:c r="H92" s="56" t="str"/>
      <x:c r="I92" s="56" t="str"/>
      <x:c r="J92" s="62" t="str"/>
      <x:c r="K92" s="56" t="str"/>
      <x:c r="L92" s="56" t="str"/>
      <x:c r="M92" s="56" t="str"/>
      <x:c r="N92" s="56" t="str"/>
      <x:c r="O92" s="56" t="str"/>
      <x:c r="P92" s="56" t="str"/>
      <x:c r="Q92" s="56" t="str"/>
      <x:c r="R92" s="56" t="str"/>
      <x:c r="S92" s="60" t="str"/>
      <x:c r="T92" s="56" t="str">
        <x:f>IF(S92="","",TODAY()-S92+1)</x:f>
      </x:c>
      <x:c r="U92" s="56" t="str"/>
      <x:c r="V92" s="56" t="str"/>
      <x:c r="W92" s="56" t="str"/>
      <x:c r="X92" s="56" t="str"/>
      <x:c r="Y92" s="56" t="str"/>
      <x:c r="Z92" s="56" t="str"/>
      <x:c r="AA92" s="56" t="str"/>
      <x:c r="AB92" s="56" t="str"/>
      <x:c r="AC92" s="56" t="str">
        <x:f>IF(AD92="","",IF(AD92&gt;=8,"Crítico",IF(AD92&gt;=5,"Alto",IF(AD92&gt;=3,"Moderado","Baixo"))))</x:f>
      </x:c>
      <x:c r="AD92" s="56" t="str">
        <x:f>IF(A92="","",IF(I92&gt;=70,3,IF(I92&gt;=50,2,IF(I92&gt;0,1,0)))+IF(K92="P1",2,0)+IF(M92="Sim",2,0)+IF(OR(L92="IOT",L92="TQT"),2,0)+IF(OR(V92="LRA KDIGO 3",V92="HD",V92="CRRT"),2,0)+IF(T92&gt;7,1,0)+IF(Y92="Sim",2,0))</x:f>
      </x:c>
    </x:row>
    <x:row r="93">
      <x:c r="A93" s="56" t="str"/>
      <x:c r="B93" s="56" t="str"/>
      <x:c r="C93" s="56" t="str"/>
      <x:c r="D93" s="60" t="str"/>
      <x:c r="E93" s="60" t="str"/>
      <x:c r="F93" s="56" t="str">
        <x:f>IF(E93="","",TODAY()-E93+1)</x:f>
      </x:c>
      <x:c r="G93" s="56" t="str"/>
      <x:c r="H93" s="56" t="str"/>
      <x:c r="I93" s="56" t="str"/>
      <x:c r="J93" s="62" t="str"/>
      <x:c r="K93" s="56" t="str"/>
      <x:c r="L93" s="56" t="str"/>
      <x:c r="M93" s="56" t="str"/>
      <x:c r="N93" s="56" t="str"/>
      <x:c r="O93" s="56" t="str"/>
      <x:c r="P93" s="56" t="str"/>
      <x:c r="Q93" s="56" t="str"/>
      <x:c r="R93" s="56" t="str"/>
      <x:c r="S93" s="60" t="str"/>
      <x:c r="T93" s="56" t="str">
        <x:f>IF(S93="","",TODAY()-S93+1)</x:f>
      </x:c>
      <x:c r="U93" s="56" t="str"/>
      <x:c r="V93" s="56" t="str"/>
      <x:c r="W93" s="56" t="str"/>
      <x:c r="X93" s="56" t="str"/>
      <x:c r="Y93" s="56" t="str"/>
      <x:c r="Z93" s="56" t="str"/>
      <x:c r="AA93" s="56" t="str"/>
      <x:c r="AB93" s="56" t="str"/>
      <x:c r="AC93" s="56" t="str">
        <x:f>IF(AD93="","",IF(AD93&gt;=8,"Crítico",IF(AD93&gt;=5,"Alto",IF(AD93&gt;=3,"Moderado","Baixo"))))</x:f>
      </x:c>
      <x:c r="AD93" s="56" t="str">
        <x:f>IF(A93="","",IF(I93&gt;=70,3,IF(I93&gt;=50,2,IF(I93&gt;0,1,0)))+IF(K93="P1",2,0)+IF(M93="Sim",2,0)+IF(OR(L93="IOT",L93="TQT"),2,0)+IF(OR(V93="LRA KDIGO 3",V93="HD",V93="CRRT"),2,0)+IF(T93&gt;7,1,0)+IF(Y93="Sim",2,0))</x:f>
      </x:c>
    </x:row>
    <x:row r="94">
      <x:c r="A94" s="56" t="str"/>
      <x:c r="B94" s="56" t="str"/>
      <x:c r="C94" s="56" t="str"/>
      <x:c r="D94" s="60" t="str"/>
      <x:c r="E94" s="60" t="str"/>
      <x:c r="F94" s="56" t="str">
        <x:f>IF(E94="","",TODAY()-E94+1)</x:f>
      </x:c>
      <x:c r="G94" s="56" t="str"/>
      <x:c r="H94" s="56" t="str"/>
      <x:c r="I94" s="56" t="str"/>
      <x:c r="J94" s="62" t="str"/>
      <x:c r="K94" s="56" t="str"/>
      <x:c r="L94" s="56" t="str"/>
      <x:c r="M94" s="56" t="str"/>
      <x:c r="N94" s="56" t="str"/>
      <x:c r="O94" s="56" t="str"/>
      <x:c r="P94" s="56" t="str"/>
      <x:c r="Q94" s="56" t="str"/>
      <x:c r="R94" s="56" t="str"/>
      <x:c r="S94" s="60" t="str"/>
      <x:c r="T94" s="56" t="str">
        <x:f>IF(S94="","",TODAY()-S94+1)</x:f>
      </x:c>
      <x:c r="U94" s="56" t="str"/>
      <x:c r="V94" s="56" t="str"/>
      <x:c r="W94" s="56" t="str"/>
      <x:c r="X94" s="56" t="str"/>
      <x:c r="Y94" s="56" t="str"/>
      <x:c r="Z94" s="56" t="str"/>
      <x:c r="AA94" s="56" t="str"/>
      <x:c r="AB94" s="56" t="str"/>
      <x:c r="AC94" s="56" t="str">
        <x:f>IF(AD94="","",IF(AD94&gt;=8,"Crítico",IF(AD94&gt;=5,"Alto",IF(AD94&gt;=3,"Moderado","Baixo"))))</x:f>
      </x:c>
      <x:c r="AD94" s="56" t="str">
        <x:f>IF(A94="","",IF(I94&gt;=70,3,IF(I94&gt;=50,2,IF(I94&gt;0,1,0)))+IF(K94="P1",2,0)+IF(M94="Sim",2,0)+IF(OR(L94="IOT",L94="TQT"),2,0)+IF(OR(V94="LRA KDIGO 3",V94="HD",V94="CRRT"),2,0)+IF(T94&gt;7,1,0)+IF(Y94="Sim",2,0))</x:f>
      </x:c>
    </x:row>
    <x:row r="95">
      <x:c r="A95" s="56" t="str"/>
      <x:c r="B95" s="56" t="str"/>
      <x:c r="C95" s="56" t="str"/>
      <x:c r="D95" s="60" t="str"/>
      <x:c r="E95" s="60" t="str"/>
      <x:c r="F95" s="56" t="str">
        <x:f>IF(E95="","",TODAY()-E95+1)</x:f>
      </x:c>
      <x:c r="G95" s="56" t="str"/>
      <x:c r="H95" s="56" t="str"/>
      <x:c r="I95" s="56" t="str"/>
      <x:c r="J95" s="62" t="str"/>
      <x:c r="K95" s="56" t="str"/>
      <x:c r="L95" s="56" t="str"/>
      <x:c r="M95" s="56" t="str"/>
      <x:c r="N95" s="56" t="str"/>
      <x:c r="O95" s="56" t="str"/>
      <x:c r="P95" s="56" t="str"/>
      <x:c r="Q95" s="56" t="str"/>
      <x:c r="R95" s="56" t="str"/>
      <x:c r="S95" s="60" t="str"/>
      <x:c r="T95" s="56" t="str">
        <x:f>IF(S95="","",TODAY()-S95+1)</x:f>
      </x:c>
      <x:c r="U95" s="56" t="str"/>
      <x:c r="V95" s="56" t="str"/>
      <x:c r="W95" s="56" t="str"/>
      <x:c r="X95" s="56" t="str"/>
      <x:c r="Y95" s="56" t="str"/>
      <x:c r="Z95" s="56" t="str"/>
      <x:c r="AA95" s="56" t="str"/>
      <x:c r="AB95" s="56" t="str"/>
      <x:c r="AC95" s="56" t="str">
        <x:f>IF(AD95="","",IF(AD95&gt;=8,"Crítico",IF(AD95&gt;=5,"Alto",IF(AD95&gt;=3,"Moderado","Baixo"))))</x:f>
      </x:c>
      <x:c r="AD95" s="56" t="str">
        <x:f>IF(A95="","",IF(I95&gt;=70,3,IF(I95&gt;=50,2,IF(I95&gt;0,1,0)))+IF(K95="P1",2,0)+IF(M95="Sim",2,0)+IF(OR(L95="IOT",L95="TQT"),2,0)+IF(OR(V95="LRA KDIGO 3",V95="HD",V95="CRRT"),2,0)+IF(T95&gt;7,1,0)+IF(Y95="Sim",2,0))</x:f>
      </x:c>
    </x:row>
    <x:row r="96">
      <x:c r="A96" s="56" t="str"/>
      <x:c r="B96" s="56" t="str"/>
      <x:c r="C96" s="56" t="str"/>
      <x:c r="D96" s="60" t="str"/>
      <x:c r="E96" s="60" t="str"/>
      <x:c r="F96" s="56" t="str">
        <x:f>IF(E96="","",TODAY()-E96+1)</x:f>
      </x:c>
      <x:c r="G96" s="56" t="str"/>
      <x:c r="H96" s="56" t="str"/>
      <x:c r="I96" s="56" t="str"/>
      <x:c r="J96" s="62" t="str"/>
      <x:c r="K96" s="56" t="str"/>
      <x:c r="L96" s="56" t="str"/>
      <x:c r="M96" s="56" t="str"/>
      <x:c r="N96" s="56" t="str"/>
      <x:c r="O96" s="56" t="str"/>
      <x:c r="P96" s="56" t="str"/>
      <x:c r="Q96" s="56" t="str"/>
      <x:c r="R96" s="56" t="str"/>
      <x:c r="S96" s="60" t="str"/>
      <x:c r="T96" s="56" t="str">
        <x:f>IF(S96="","",TODAY()-S96+1)</x:f>
      </x:c>
      <x:c r="U96" s="56" t="str"/>
      <x:c r="V96" s="56" t="str"/>
      <x:c r="W96" s="56" t="str"/>
      <x:c r="X96" s="56" t="str"/>
      <x:c r="Y96" s="56" t="str"/>
      <x:c r="Z96" s="56" t="str"/>
      <x:c r="AA96" s="56" t="str"/>
      <x:c r="AB96" s="56" t="str"/>
      <x:c r="AC96" s="56" t="str">
        <x:f>IF(AD96="","",IF(AD96&gt;=8,"Crítico",IF(AD96&gt;=5,"Alto",IF(AD96&gt;=3,"Moderado","Baixo"))))</x:f>
      </x:c>
      <x:c r="AD96" s="56" t="str">
        <x:f>IF(A96="","",IF(I96&gt;=70,3,IF(I96&gt;=50,2,IF(I96&gt;0,1,0)))+IF(K96="P1",2,0)+IF(M96="Sim",2,0)+IF(OR(L96="IOT",L96="TQT"),2,0)+IF(OR(V96="LRA KDIGO 3",V96="HD",V96="CRRT"),2,0)+IF(T96&gt;7,1,0)+IF(Y96="Sim",2,0))</x:f>
      </x:c>
    </x:row>
    <x:row r="97">
      <x:c r="A97" s="56" t="str"/>
      <x:c r="B97" s="56" t="str"/>
      <x:c r="C97" s="56" t="str"/>
      <x:c r="D97" s="60" t="str"/>
      <x:c r="E97" s="60" t="str"/>
      <x:c r="F97" s="56" t="str">
        <x:f>IF(E97="","",TODAY()-E97+1)</x:f>
      </x:c>
      <x:c r="G97" s="56" t="str"/>
      <x:c r="H97" s="56" t="str"/>
      <x:c r="I97" s="56" t="str"/>
      <x:c r="J97" s="62" t="str"/>
      <x:c r="K97" s="56" t="str"/>
      <x:c r="L97" s="56" t="str"/>
      <x:c r="M97" s="56" t="str"/>
      <x:c r="N97" s="56" t="str"/>
      <x:c r="O97" s="56" t="str"/>
      <x:c r="P97" s="56" t="str"/>
      <x:c r="Q97" s="56" t="str"/>
      <x:c r="R97" s="56" t="str"/>
      <x:c r="S97" s="60" t="str"/>
      <x:c r="T97" s="56" t="str">
        <x:f>IF(S97="","",TODAY()-S97+1)</x:f>
      </x:c>
      <x:c r="U97" s="56" t="str"/>
      <x:c r="V97" s="56" t="str"/>
      <x:c r="W97" s="56" t="str"/>
      <x:c r="X97" s="56" t="str"/>
      <x:c r="Y97" s="56" t="str"/>
      <x:c r="Z97" s="56" t="str"/>
      <x:c r="AA97" s="56" t="str"/>
      <x:c r="AB97" s="56" t="str"/>
      <x:c r="AC97" s="56" t="str">
        <x:f>IF(AD97="","",IF(AD97&gt;=8,"Crítico",IF(AD97&gt;=5,"Alto",IF(AD97&gt;=3,"Moderado","Baixo"))))</x:f>
      </x:c>
      <x:c r="AD97" s="56" t="str">
        <x:f>IF(A97="","",IF(I97&gt;=70,3,IF(I97&gt;=50,2,IF(I97&gt;0,1,0)))+IF(K97="P1",2,0)+IF(M97="Sim",2,0)+IF(OR(L97="IOT",L97="TQT"),2,0)+IF(OR(V97="LRA KDIGO 3",V97="HD",V97="CRRT"),2,0)+IF(T97&gt;7,1,0)+IF(Y97="Sim",2,0))</x:f>
      </x:c>
    </x:row>
    <x:row r="98">
      <x:c r="A98" s="56" t="str"/>
      <x:c r="B98" s="56" t="str"/>
      <x:c r="C98" s="56" t="str"/>
      <x:c r="D98" s="60" t="str"/>
      <x:c r="E98" s="60" t="str"/>
      <x:c r="F98" s="56" t="str">
        <x:f>IF(E98="","",TODAY()-E98+1)</x:f>
      </x:c>
      <x:c r="G98" s="56" t="str"/>
      <x:c r="H98" s="56" t="str"/>
      <x:c r="I98" s="56" t="str"/>
      <x:c r="J98" s="62" t="str"/>
      <x:c r="K98" s="56" t="str"/>
      <x:c r="L98" s="56" t="str"/>
      <x:c r="M98" s="56" t="str"/>
      <x:c r="N98" s="56" t="str"/>
      <x:c r="O98" s="56" t="str"/>
      <x:c r="P98" s="56" t="str"/>
      <x:c r="Q98" s="56" t="str"/>
      <x:c r="R98" s="56" t="str"/>
      <x:c r="S98" s="60" t="str"/>
      <x:c r="T98" s="56" t="str">
        <x:f>IF(S98="","",TODAY()-S98+1)</x:f>
      </x:c>
      <x:c r="U98" s="56" t="str"/>
      <x:c r="V98" s="56" t="str"/>
      <x:c r="W98" s="56" t="str"/>
      <x:c r="X98" s="56" t="str"/>
      <x:c r="Y98" s="56" t="str"/>
      <x:c r="Z98" s="56" t="str"/>
      <x:c r="AA98" s="56" t="str"/>
      <x:c r="AB98" s="56" t="str"/>
      <x:c r="AC98" s="56" t="str">
        <x:f>IF(AD98="","",IF(AD98&gt;=8,"Crítico",IF(AD98&gt;=5,"Alto",IF(AD98&gt;=3,"Moderado","Baixo"))))</x:f>
      </x:c>
      <x:c r="AD98" s="56" t="str">
        <x:f>IF(A98="","",IF(I98&gt;=70,3,IF(I98&gt;=50,2,IF(I98&gt;0,1,0)))+IF(K98="P1",2,0)+IF(M98="Sim",2,0)+IF(OR(L98="IOT",L98="TQT"),2,0)+IF(OR(V98="LRA KDIGO 3",V98="HD",V98="CRRT"),2,0)+IF(T98&gt;7,1,0)+IF(Y98="Sim",2,0))</x:f>
      </x:c>
    </x:row>
    <x:row r="99">
      <x:c r="A99" s="56" t="str"/>
      <x:c r="B99" s="56" t="str"/>
      <x:c r="C99" s="56" t="str"/>
      <x:c r="D99" s="60" t="str"/>
      <x:c r="E99" s="60" t="str"/>
      <x:c r="F99" s="56" t="str">
        <x:f>IF(E99="","",TODAY()-E99+1)</x:f>
      </x:c>
      <x:c r="G99" s="56" t="str"/>
      <x:c r="H99" s="56" t="str"/>
      <x:c r="I99" s="56" t="str"/>
      <x:c r="J99" s="62" t="str"/>
      <x:c r="K99" s="56" t="str"/>
      <x:c r="L99" s="56" t="str"/>
      <x:c r="M99" s="56" t="str"/>
      <x:c r="N99" s="56" t="str"/>
      <x:c r="O99" s="56" t="str"/>
      <x:c r="P99" s="56" t="str"/>
      <x:c r="Q99" s="56" t="str"/>
      <x:c r="R99" s="56" t="str"/>
      <x:c r="S99" s="60" t="str"/>
      <x:c r="T99" s="56" t="str">
        <x:f>IF(S99="","",TODAY()-S99+1)</x:f>
      </x:c>
      <x:c r="U99" s="56" t="str"/>
      <x:c r="V99" s="56" t="str"/>
      <x:c r="W99" s="56" t="str"/>
      <x:c r="X99" s="56" t="str"/>
      <x:c r="Y99" s="56" t="str"/>
      <x:c r="Z99" s="56" t="str"/>
      <x:c r="AA99" s="56" t="str"/>
      <x:c r="AB99" s="56" t="str"/>
      <x:c r="AC99" s="56" t="str">
        <x:f>IF(AD99="","",IF(AD99&gt;=8,"Crítico",IF(AD99&gt;=5,"Alto",IF(AD99&gt;=3,"Moderado","Baixo"))))</x:f>
      </x:c>
      <x:c r="AD99" s="56" t="str">
        <x:f>IF(A99="","",IF(I99&gt;=70,3,IF(I99&gt;=50,2,IF(I99&gt;0,1,0)))+IF(K99="P1",2,0)+IF(M99="Sim",2,0)+IF(OR(L99="IOT",L99="TQT"),2,0)+IF(OR(V99="LRA KDIGO 3",V99="HD",V99="CRRT"),2,0)+IF(T99&gt;7,1,0)+IF(Y99="Sim",2,0))</x:f>
      </x:c>
    </x:row>
    <x:row r="100">
      <x:c r="A100" s="56" t="str"/>
      <x:c r="B100" s="56" t="str"/>
      <x:c r="C100" s="56" t="str"/>
      <x:c r="D100" s="60" t="str"/>
      <x:c r="E100" s="60" t="str"/>
      <x:c r="F100" s="56" t="str">
        <x:f>IF(E100="","",TODAY()-E100+1)</x:f>
      </x:c>
      <x:c r="G100" s="56" t="str"/>
      <x:c r="H100" s="56" t="str"/>
      <x:c r="I100" s="56" t="str"/>
      <x:c r="J100" s="62" t="str"/>
      <x:c r="K100" s="56" t="str"/>
      <x:c r="L100" s="56" t="str"/>
      <x:c r="M100" s="56" t="str"/>
      <x:c r="N100" s="56" t="str"/>
      <x:c r="O100" s="56" t="str"/>
      <x:c r="P100" s="56" t="str"/>
      <x:c r="Q100" s="56" t="str"/>
      <x:c r="R100" s="56" t="str"/>
      <x:c r="S100" s="60" t="str"/>
      <x:c r="T100" s="56" t="str">
        <x:f>IF(S100="","",TODAY()-S100+1)</x:f>
      </x:c>
      <x:c r="U100" s="56" t="str"/>
      <x:c r="V100" s="56" t="str"/>
      <x:c r="W100" s="56" t="str"/>
      <x:c r="X100" s="56" t="str"/>
      <x:c r="Y100" s="56" t="str"/>
      <x:c r="Z100" s="56" t="str"/>
      <x:c r="AA100" s="56" t="str"/>
      <x:c r="AB100" s="56" t="str"/>
      <x:c r="AC100" s="56" t="str">
        <x:f>IF(AD100="","",IF(AD100&gt;=8,"Crítico",IF(AD100&gt;=5,"Alto",IF(AD100&gt;=3,"Moderado","Baixo"))))</x:f>
      </x:c>
      <x:c r="AD100" s="56" t="str">
        <x:f>IF(A100="","",IF(I100&gt;=70,3,IF(I100&gt;=50,2,IF(I100&gt;0,1,0)))+IF(K100="P1",2,0)+IF(M100="Sim",2,0)+IF(OR(L100="IOT",L100="TQT"),2,0)+IF(OR(V100="LRA KDIGO 3",V100="HD",V100="CRRT"),2,0)+IF(T100&gt;7,1,0)+IF(Y100="Sim",2,0))</x:f>
      </x:c>
    </x:row>
    <x:row r="101">
      <x:c r="A101" s="56" t="str"/>
      <x:c r="B101" s="56" t="str"/>
      <x:c r="C101" s="56" t="str"/>
      <x:c r="D101" s="60" t="str"/>
      <x:c r="E101" s="60" t="str"/>
      <x:c r="F101" s="56" t="str">
        <x:f>IF(E101="","",TODAY()-E101+1)</x:f>
      </x:c>
      <x:c r="G101" s="56" t="str"/>
      <x:c r="H101" s="56" t="str"/>
      <x:c r="I101" s="56" t="str"/>
      <x:c r="J101" s="62" t="str"/>
      <x:c r="K101" s="56" t="str"/>
      <x:c r="L101" s="56" t="str"/>
      <x:c r="M101" s="56" t="str"/>
      <x:c r="N101" s="56" t="str"/>
      <x:c r="O101" s="56" t="str"/>
      <x:c r="P101" s="56" t="str"/>
      <x:c r="Q101" s="56" t="str"/>
      <x:c r="R101" s="56" t="str"/>
      <x:c r="S101" s="60" t="str"/>
      <x:c r="T101" s="56" t="str">
        <x:f>IF(S101="","",TODAY()-S101+1)</x:f>
      </x:c>
      <x:c r="U101" s="56" t="str"/>
      <x:c r="V101" s="56" t="str"/>
      <x:c r="W101" s="56" t="str"/>
      <x:c r="X101" s="56" t="str"/>
      <x:c r="Y101" s="56" t="str"/>
      <x:c r="Z101" s="56" t="str"/>
      <x:c r="AA101" s="56" t="str"/>
      <x:c r="AB101" s="56" t="str"/>
      <x:c r="AC101" s="56" t="str">
        <x:f>IF(AD101="","",IF(AD101&gt;=8,"Crítico",IF(AD101&gt;=5,"Alto",IF(AD101&gt;=3,"Moderado","Baixo"))))</x:f>
      </x:c>
      <x:c r="AD101" s="56" t="str">
        <x:f>IF(A101="","",IF(I101&gt;=70,3,IF(I101&gt;=50,2,IF(I101&gt;0,1,0)))+IF(K101="P1",2,0)+IF(M101="Sim",2,0)+IF(OR(L101="IOT",L101="TQT"),2,0)+IF(OR(V101="LRA KDIGO 3",V101="HD",V101="CRRT"),2,0)+IF(T101&gt;7,1,0)+IF(Y101="Sim",2,0))</x:f>
      </x:c>
    </x:row>
    <x:row r="102">
      <x:c r="A102" s="56" t="str"/>
      <x:c r="B102" s="56" t="str"/>
      <x:c r="C102" s="56" t="str"/>
      <x:c r="D102" s="60" t="str"/>
      <x:c r="E102" s="60" t="str"/>
      <x:c r="F102" s="56" t="str">
        <x:f>IF(E102="","",TODAY()-E102+1)</x:f>
      </x:c>
      <x:c r="G102" s="56" t="str"/>
      <x:c r="H102" s="56" t="str"/>
      <x:c r="I102" s="56" t="str"/>
      <x:c r="J102" s="62" t="str"/>
      <x:c r="K102" s="56" t="str"/>
      <x:c r="L102" s="56" t="str"/>
      <x:c r="M102" s="56" t="str"/>
      <x:c r="N102" s="56" t="str"/>
      <x:c r="O102" s="56" t="str"/>
      <x:c r="P102" s="56" t="str"/>
      <x:c r="Q102" s="56" t="str"/>
      <x:c r="R102" s="56" t="str"/>
      <x:c r="S102" s="60" t="str"/>
      <x:c r="T102" s="56" t="str">
        <x:f>IF(S102="","",TODAY()-S102+1)</x:f>
      </x:c>
      <x:c r="U102" s="56" t="str"/>
      <x:c r="V102" s="56" t="str"/>
      <x:c r="W102" s="56" t="str"/>
      <x:c r="X102" s="56" t="str"/>
      <x:c r="Y102" s="56" t="str"/>
      <x:c r="Z102" s="56" t="str"/>
      <x:c r="AA102" s="56" t="str"/>
      <x:c r="AB102" s="56" t="str"/>
      <x:c r="AC102" s="56" t="str">
        <x:f>IF(AD102="","",IF(AD102&gt;=8,"Crítico",IF(AD102&gt;=5,"Alto",IF(AD102&gt;=3,"Moderado","Baixo"))))</x:f>
      </x:c>
      <x:c r="AD102" s="56" t="str">
        <x:f>IF(A102="","",IF(I102&gt;=70,3,IF(I102&gt;=50,2,IF(I102&gt;0,1,0)))+IF(K102="P1",2,0)+IF(M102="Sim",2,0)+IF(OR(L102="IOT",L102="TQT"),2,0)+IF(OR(V102="LRA KDIGO 3",V102="HD",V102="CRRT"),2,0)+IF(T102&gt;7,1,0)+IF(Y102="Sim",2,0))</x:f>
      </x:c>
    </x:row>
    <x:row r="103">
      <x:c r="A103" s="56" t="str"/>
      <x:c r="B103" s="56" t="str"/>
      <x:c r="C103" s="56" t="str"/>
      <x:c r="D103" s="60" t="str"/>
      <x:c r="E103" s="60" t="str"/>
      <x:c r="F103" s="56" t="str">
        <x:f>IF(E103="","",TODAY()-E103+1)</x:f>
      </x:c>
      <x:c r="G103" s="56" t="str"/>
      <x:c r="H103" s="56" t="str"/>
      <x:c r="I103" s="56" t="str"/>
      <x:c r="J103" s="62" t="str"/>
      <x:c r="K103" s="56" t="str"/>
      <x:c r="L103" s="56" t="str"/>
      <x:c r="M103" s="56" t="str"/>
      <x:c r="N103" s="56" t="str"/>
      <x:c r="O103" s="56" t="str"/>
      <x:c r="P103" s="56" t="str"/>
      <x:c r="Q103" s="56" t="str"/>
      <x:c r="R103" s="56" t="str"/>
      <x:c r="S103" s="60" t="str"/>
      <x:c r="T103" s="56" t="str">
        <x:f>IF(S103="","",TODAY()-S103+1)</x:f>
      </x:c>
      <x:c r="U103" s="56" t="str"/>
      <x:c r="V103" s="56" t="str"/>
      <x:c r="W103" s="56" t="str"/>
      <x:c r="X103" s="56" t="str"/>
      <x:c r="Y103" s="56" t="str"/>
      <x:c r="Z103" s="56" t="str"/>
      <x:c r="AA103" s="56" t="str"/>
      <x:c r="AB103" s="56" t="str"/>
      <x:c r="AC103" s="56" t="str">
        <x:f>IF(AD103="","",IF(AD103&gt;=8,"Crítico",IF(AD103&gt;=5,"Alto",IF(AD103&gt;=3,"Moderado","Baixo"))))</x:f>
      </x:c>
      <x:c r="AD103" s="56" t="str">
        <x:f>IF(A103="","",IF(I103&gt;=70,3,IF(I103&gt;=50,2,IF(I103&gt;0,1,0)))+IF(K103="P1",2,0)+IF(M103="Sim",2,0)+IF(OR(L103="IOT",L103="TQT"),2,0)+IF(OR(V103="LRA KDIGO 3",V103="HD",V103="CRRT"),2,0)+IF(T103&gt;7,1,0)+IF(Y103="Sim",2,0))</x:f>
      </x:c>
    </x:row>
    <x:row r="104">
      <x:c r="A104" s="56" t="str"/>
      <x:c r="B104" s="56" t="str"/>
      <x:c r="C104" s="56" t="str"/>
      <x:c r="D104" s="60" t="str"/>
      <x:c r="E104" s="60" t="str"/>
      <x:c r="F104" s="56" t="str">
        <x:f>IF(E104="","",TODAY()-E104+1)</x:f>
      </x:c>
      <x:c r="G104" s="56" t="str"/>
      <x:c r="H104" s="56" t="str"/>
      <x:c r="I104" s="56" t="str"/>
      <x:c r="J104" s="62" t="str"/>
      <x:c r="K104" s="56" t="str"/>
      <x:c r="L104" s="56" t="str"/>
      <x:c r="M104" s="56" t="str"/>
      <x:c r="N104" s="56" t="str"/>
      <x:c r="O104" s="56" t="str"/>
      <x:c r="P104" s="56" t="str"/>
      <x:c r="Q104" s="56" t="str"/>
      <x:c r="R104" s="56" t="str"/>
      <x:c r="S104" s="60" t="str"/>
      <x:c r="T104" s="56" t="str">
        <x:f>IF(S104="","",TODAY()-S104+1)</x:f>
      </x:c>
      <x:c r="U104" s="56" t="str"/>
      <x:c r="V104" s="56" t="str"/>
      <x:c r="W104" s="56" t="str"/>
      <x:c r="X104" s="56" t="str"/>
      <x:c r="Y104" s="56" t="str"/>
      <x:c r="Z104" s="56" t="str"/>
      <x:c r="AA104" s="56" t="str"/>
      <x:c r="AB104" s="56" t="str"/>
      <x:c r="AC104" s="56" t="str">
        <x:f>IF(AD104="","",IF(AD104&gt;=8,"Crítico",IF(AD104&gt;=5,"Alto",IF(AD104&gt;=3,"Moderado","Baixo"))))</x:f>
      </x:c>
      <x:c r="AD104" s="56" t="str">
        <x:f>IF(A104="","",IF(I104&gt;=70,3,IF(I104&gt;=50,2,IF(I104&gt;0,1,0)))+IF(K104="P1",2,0)+IF(M104="Sim",2,0)+IF(OR(L104="IOT",L104="TQT"),2,0)+IF(OR(V104="LRA KDIGO 3",V104="HD",V104="CRRT"),2,0)+IF(T104&gt;7,1,0)+IF(Y104="Sim",2,0))</x:f>
      </x:c>
    </x:row>
    <x:row r="105">
      <x:c r="A105" s="56" t="str"/>
      <x:c r="B105" s="56" t="str"/>
      <x:c r="C105" s="56" t="str"/>
      <x:c r="D105" s="60" t="str"/>
      <x:c r="E105" s="60" t="str"/>
      <x:c r="F105" s="56" t="str">
        <x:f>IF(E105="","",TODAY()-E105+1)</x:f>
      </x:c>
      <x:c r="G105" s="56" t="str"/>
      <x:c r="H105" s="56" t="str"/>
      <x:c r="I105" s="56" t="str"/>
      <x:c r="J105" s="62" t="str"/>
      <x:c r="K105" s="56" t="str"/>
      <x:c r="L105" s="56" t="str"/>
      <x:c r="M105" s="56" t="str"/>
      <x:c r="N105" s="56" t="str"/>
      <x:c r="O105" s="56" t="str"/>
      <x:c r="P105" s="56" t="str"/>
      <x:c r="Q105" s="56" t="str"/>
      <x:c r="R105" s="56" t="str"/>
      <x:c r="S105" s="60" t="str"/>
      <x:c r="T105" s="56" t="str">
        <x:f>IF(S105="","",TODAY()-S105+1)</x:f>
      </x:c>
      <x:c r="U105" s="56" t="str"/>
      <x:c r="V105" s="56" t="str"/>
      <x:c r="W105" s="56" t="str"/>
      <x:c r="X105" s="56" t="str"/>
      <x:c r="Y105" s="56" t="str"/>
      <x:c r="Z105" s="56" t="str"/>
      <x:c r="AA105" s="56" t="str"/>
      <x:c r="AB105" s="56" t="str"/>
      <x:c r="AC105" s="56" t="str">
        <x:f>IF(AD105="","",IF(AD105&gt;=8,"Crítico",IF(AD105&gt;=5,"Alto",IF(AD105&gt;=3,"Moderado","Baixo"))))</x:f>
      </x:c>
      <x:c r="AD105" s="56" t="str">
        <x:f>IF(A105="","",IF(I105&gt;=70,3,IF(I105&gt;=50,2,IF(I105&gt;0,1,0)))+IF(K105="P1",2,0)+IF(M105="Sim",2,0)+IF(OR(L105="IOT",L105="TQT"),2,0)+IF(OR(V105="LRA KDIGO 3",V105="HD",V105="CRRT"),2,0)+IF(T105&gt;7,1,0)+IF(Y105="Sim",2,0))</x:f>
      </x:c>
    </x:row>
    <x:row r="106">
      <x:c r="A106" s="56" t="str"/>
      <x:c r="B106" s="56" t="str"/>
      <x:c r="C106" s="56" t="str"/>
      <x:c r="D106" s="60" t="str"/>
      <x:c r="E106" s="60" t="str"/>
      <x:c r="F106" s="56" t="str">
        <x:f>IF(E106="","",TODAY()-E106+1)</x:f>
      </x:c>
      <x:c r="G106" s="56" t="str"/>
      <x:c r="H106" s="56" t="str"/>
      <x:c r="I106" s="56" t="str"/>
      <x:c r="J106" s="62" t="str"/>
      <x:c r="K106" s="56" t="str"/>
      <x:c r="L106" s="56" t="str"/>
      <x:c r="M106" s="56" t="str"/>
      <x:c r="N106" s="56" t="str"/>
      <x:c r="O106" s="56" t="str"/>
      <x:c r="P106" s="56" t="str"/>
      <x:c r="Q106" s="56" t="str"/>
      <x:c r="R106" s="56" t="str"/>
      <x:c r="S106" s="60" t="str"/>
      <x:c r="T106" s="56" t="str">
        <x:f>IF(S106="","",TODAY()-S106+1)</x:f>
      </x:c>
      <x:c r="U106" s="56" t="str"/>
      <x:c r="V106" s="56" t="str"/>
      <x:c r="W106" s="56" t="str"/>
      <x:c r="X106" s="56" t="str"/>
      <x:c r="Y106" s="56" t="str"/>
      <x:c r="Z106" s="56" t="str"/>
      <x:c r="AA106" s="56" t="str"/>
      <x:c r="AB106" s="56" t="str"/>
      <x:c r="AC106" s="56" t="str">
        <x:f>IF(AD106="","",IF(AD106&gt;=8,"Crítico",IF(AD106&gt;=5,"Alto",IF(AD106&gt;=3,"Moderado","Baixo"))))</x:f>
      </x:c>
      <x:c r="AD106" s="56" t="str">
        <x:f>IF(A106="","",IF(I106&gt;=70,3,IF(I106&gt;=50,2,IF(I106&gt;0,1,0)))+IF(K106="P1",2,0)+IF(M106="Sim",2,0)+IF(OR(L106="IOT",L106="TQT"),2,0)+IF(OR(V106="LRA KDIGO 3",V106="HD",V106="CRRT"),2,0)+IF(T106&gt;7,1,0)+IF(Y106="Sim",2,0))</x:f>
      </x:c>
    </x:row>
    <x:row r="107">
      <x:c r="A107" s="56" t="str"/>
      <x:c r="B107" s="56" t="str"/>
      <x:c r="C107" s="56" t="str"/>
      <x:c r="D107" s="60" t="str"/>
      <x:c r="E107" s="60" t="str"/>
      <x:c r="F107" s="56" t="str">
        <x:f>IF(E107="","",TODAY()-E107+1)</x:f>
      </x:c>
      <x:c r="G107" s="56" t="str"/>
      <x:c r="H107" s="56" t="str"/>
      <x:c r="I107" s="56" t="str"/>
      <x:c r="J107" s="62" t="str"/>
      <x:c r="K107" s="56" t="str"/>
      <x:c r="L107" s="56" t="str"/>
      <x:c r="M107" s="56" t="str"/>
      <x:c r="N107" s="56" t="str"/>
      <x:c r="O107" s="56" t="str"/>
      <x:c r="P107" s="56" t="str"/>
      <x:c r="Q107" s="56" t="str"/>
      <x:c r="R107" s="56" t="str"/>
      <x:c r="S107" s="60" t="str"/>
      <x:c r="T107" s="56" t="str">
        <x:f>IF(S107="","",TODAY()-S107+1)</x:f>
      </x:c>
      <x:c r="U107" s="56" t="str"/>
      <x:c r="V107" s="56" t="str"/>
      <x:c r="W107" s="56" t="str"/>
      <x:c r="X107" s="56" t="str"/>
      <x:c r="Y107" s="56" t="str"/>
      <x:c r="Z107" s="56" t="str"/>
      <x:c r="AA107" s="56" t="str"/>
      <x:c r="AB107" s="56" t="str"/>
      <x:c r="AC107" s="56" t="str">
        <x:f>IF(AD107="","",IF(AD107&gt;=8,"Crítico",IF(AD107&gt;=5,"Alto",IF(AD107&gt;=3,"Moderado","Baixo"))))</x:f>
      </x:c>
      <x:c r="AD107" s="56" t="str">
        <x:f>IF(A107="","",IF(I107&gt;=70,3,IF(I107&gt;=50,2,IF(I107&gt;0,1,0)))+IF(K107="P1",2,0)+IF(M107="Sim",2,0)+IF(OR(L107="IOT",L107="TQT"),2,0)+IF(OR(V107="LRA KDIGO 3",V107="HD",V107="CRRT"),2,0)+IF(T107&gt;7,1,0)+IF(Y107="Sim",2,0))</x:f>
      </x:c>
    </x:row>
    <x:row r="108">
      <x:c r="A108" s="56" t="str"/>
      <x:c r="B108" s="56" t="str"/>
      <x:c r="C108" s="56" t="str"/>
      <x:c r="D108" s="60" t="str"/>
      <x:c r="E108" s="60" t="str"/>
      <x:c r="F108" s="56" t="str">
        <x:f>IF(E108="","",TODAY()-E108+1)</x:f>
      </x:c>
      <x:c r="G108" s="56" t="str"/>
      <x:c r="H108" s="56" t="str"/>
      <x:c r="I108" s="56" t="str"/>
      <x:c r="J108" s="62" t="str"/>
      <x:c r="K108" s="56" t="str"/>
      <x:c r="L108" s="56" t="str"/>
      <x:c r="M108" s="56" t="str"/>
      <x:c r="N108" s="56" t="str"/>
      <x:c r="O108" s="56" t="str"/>
      <x:c r="P108" s="56" t="str"/>
      <x:c r="Q108" s="56" t="str"/>
      <x:c r="R108" s="56" t="str"/>
      <x:c r="S108" s="60" t="str"/>
      <x:c r="T108" s="56" t="str">
        <x:f>IF(S108="","",TODAY()-S108+1)</x:f>
      </x:c>
      <x:c r="U108" s="56" t="str"/>
      <x:c r="V108" s="56" t="str"/>
      <x:c r="W108" s="56" t="str"/>
      <x:c r="X108" s="56" t="str"/>
      <x:c r="Y108" s="56" t="str"/>
      <x:c r="Z108" s="56" t="str"/>
      <x:c r="AA108" s="56" t="str"/>
      <x:c r="AB108" s="56" t="str"/>
      <x:c r="AC108" s="56" t="str">
        <x:f>IF(AD108="","",IF(AD108&gt;=8,"Crítico",IF(AD108&gt;=5,"Alto",IF(AD108&gt;=3,"Moderado","Baixo"))))</x:f>
      </x:c>
      <x:c r="AD108" s="56" t="str">
        <x:f>IF(A108="","",IF(I108&gt;=70,3,IF(I108&gt;=50,2,IF(I108&gt;0,1,0)))+IF(K108="P1",2,0)+IF(M108="Sim",2,0)+IF(OR(L108="IOT",L108="TQT"),2,0)+IF(OR(V108="LRA KDIGO 3",V108="HD",V108="CRRT"),2,0)+IF(T108&gt;7,1,0)+IF(Y108="Sim",2,0))</x:f>
      </x:c>
    </x:row>
  </x:sheetData>
  <x:mergeCells>
    <x:mergeCell ref="A1:AD1"/>
    <x:mergeCell ref="A2:AD2"/>
  </x:mergeCells>
  <x:conditionalFormatting sqref="I8:I107">
    <x:cfRule type="cellIs" dxfId="0" priority="1" operator="greaterThanOrEqual">
      <x:formula>70</x:formula>
    </x:cfRule>
    <x:cfRule type="cellIs" dxfId="1" priority="2" operator="between">
      <x:formula>50</x:formula>
    </x:cfRule>
  </x:conditionalFormatting>
  <x:conditionalFormatting sqref="K8:K107">
    <x:cfRule type="expression" dxfId="2" priority="3">
      <x:formula>$K8="P1"</x:formula>
    </x:cfRule>
  </x:conditionalFormatting>
  <x:conditionalFormatting sqref="M8:M107">
    <x:cfRule type="expression" dxfId="3" priority="4">
      <x:formula>$M8="Sim"</x:formula>
    </x:cfRule>
  </x:conditionalFormatting>
  <x:conditionalFormatting sqref="L8:L107">
    <x:cfRule type="expression" dxfId="4" priority="5">
      <x:formula>OR($L8="IOT",$L8="TQT")</x:formula>
    </x:cfRule>
  </x:conditionalFormatting>
  <x:conditionalFormatting sqref="V8:V107">
    <x:cfRule type="expression" dxfId="5" priority="6">
      <x:formula>OR($V8="LRA KDIGO 3",$V8="HD",$V8="CRRT")</x:formula>
    </x:cfRule>
  </x:conditionalFormatting>
  <x:conditionalFormatting sqref="T8:T107">
    <x:cfRule type="cellIs" dxfId="6" priority="7" operator="greaterThan">
      <x:formula>7</x:formula>
    </x:cfRule>
  </x:conditionalFormatting>
  <x:conditionalFormatting sqref="Y8:Y107">
    <x:cfRule type="expression" dxfId="7" priority="8">
      <x:formula>$Y8="Sim"</x:formula>
    </x:cfRule>
  </x:conditionalFormatting>
  <x:conditionalFormatting sqref="AC8:AC107">
    <x:cfRule type="expression" dxfId="8" priority="9">
      <x:formula>$AC8="Crítico"</x:formula>
    </x:cfRule>
    <x:cfRule type="expression" dxfId="9" priority="10">
      <x:formula>$AC8="Alto"</x:formula>
    </x:cfRule>
  </x:conditionalFormatting>
  <x:dataValidations count="9">
    <x:dataValidation type="list" sqref="K9:K108">
      <x:formula1>"P1,P2,P3,P4"</x:formula1>
    </x:dataValidation>
    <x:dataValidation type="list" sqref="L9:L108">
      <x:formula1>"AA,O2,VNI,CNAF,IOT,TQT"</x:formula1>
    </x:dataValidation>
    <x:dataValidation type="list" sqref="M9:M108">
      <x:formula1>"Sim,Não"</x:formula1>
    </x:dataValidation>
    <x:dataValidation type="list" sqref="O9:O108">
      <x:formula1>"Sim,Não"</x:formula1>
    </x:dataValidation>
    <x:dataValidation type="list" sqref="P9:P108">
      <x:formula1>"-5,-4,-3,-2,-1,0,+1,+2,+3,+4"</x:formula1>
    </x:dataValidation>
    <x:dataValidation type="list" sqref="Q9:Q108">
      <x:formula1>"Negativo,Positivo,Não avaliado"</x:formula1>
    </x:dataValidation>
    <x:dataValidation type="list" sqref="V9:V108">
      <x:formula1>"Normal,DRC,LRA KDIGO 1,LRA KDIGO 2,LRA KDIGO 3,HD,CRRT"</x:formula1>
    </x:dataValidation>
    <x:dataValidation type="list" sqref="W9:W108">
      <x:formula1>"Nenhuma,Profilaxia TEV,HNF plena,Enoxaparina plena,Varfarina,DOAC,Contraindicada"</x:formula1>
    </x:dataValidation>
    <x:dataValidation type="list" sqref="Y9:Y108">
      <x:formula1>"Sim,Não"</x:formula1>
    </x:dataValidation>
  </x:dataValidations>
  <x:pageMargins left="0.7" right="0.7" top="0.75" bottom="0.75" header="0.3" footer="0.3"/>
  <x:drawing xmlns:r="http://schemas.openxmlformats.org/officeDocument/2006/relationships" r:id="R3861004dbd4448b7"/>
  <x:tableParts count="1">
    <x:tablePart xmlns:r="http://schemas.openxmlformats.org/officeDocument/2006/relationships" r:id="Rc53b7479418348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5" hidden="0" customWidth="1"/>
    <x:col min="3" max="3" width="38" hidden="0" customWidth="1"/>
    <x:col min="4" max="4" width="38" hidden="0" customWidth="1"/>
    <x:col min="5" max="5" width="18" hidden="0" customWidth="1"/>
  </x:cols>
  <x:sheetData>
    <x:row r="1" ht="30" customHeight="1">
      <x:c r="A1" s="76" t="str">
        <x:v>SAPS3 E PRIORIDADE DE ADMISSÃO EM UTI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Registro estruturado do SAPS3 e classificação de prioridade P1–P4. Fórmula de mortalidade é estimativa; validar em calculadora/protocolo institucional.</x:v>
      </x:c>
    </x:row>
    <x:row r="4">
      <x:c r="A4" s="24" t="str">
        <x:v>Campo</x:v>
      </x:c>
      <x:c r="B4" s="24" t="str">
        <x:v>Valor/entrada</x:v>
      </x:c>
      <x:c r="C4" s="24" t="str">
        <x:v>Observação</x:v>
      </x:c>
    </x:row>
    <x:row r="5">
      <x:c r="A5" s="30" t="str">
        <x:v>Idade</x:v>
      </x:c>
      <x:c r="B5" s="30" t="str"/>
      <x:c r="C5" s="30" t="str">
        <x:v>Anos completos</x:v>
      </x:c>
    </x:row>
    <x:row r="6">
      <x:c r="A6" s="30" t="str">
        <x:v>Comorbidades relevantes</x:v>
      </x:c>
      <x:c r="B6" s="30" t="str"/>
      <x:c r="C6" s="30" t="str">
        <x:v>Neoplasia, AIDS, cirrose, ICC, DRC etc.</x:v>
      </x:c>
    </x:row>
    <x:row r="7">
      <x:c r="A7" s="30" t="str">
        <x:v>Tempo pré-UTI</x:v>
      </x:c>
      <x:c r="B7" s="30" t="str"/>
      <x:c r="C7" s="30" t="str">
        <x:v>Horas/dias antes da admissão na UTI</x:v>
      </x:c>
    </x:row>
    <x:row r="8">
      <x:c r="A8" s="30" t="str">
        <x:v>Origem</x:v>
      </x:c>
      <x:c r="B8" s="30" t="str"/>
      <x:c r="C8" s="30" t="str">
        <x:v>Emergência, enfermaria, centro cirúrgico etc.</x:v>
      </x:c>
    </x:row>
    <x:row r="9">
      <x:c r="A9" s="30" t="str">
        <x:v>Motivo admissão</x:v>
      </x:c>
      <x:c r="B9" s="30" t="str"/>
      <x:c r="C9" s="30" t="str">
        <x:v>Choque, IRpA, pós-operatório, neurocrítico etc.</x:v>
      </x:c>
    </x:row>
    <x:row r="10">
      <x:c r="A10" s="30" t="str">
        <x:v>Status cirúrgico</x:v>
      </x:c>
      <x:c r="B10" s="30" t="str"/>
      <x:c r="C10" s="30" t="str">
        <x:v>Clínico/eletivo/urgência</x:v>
      </x:c>
    </x:row>
    <x:row r="11">
      <x:c r="A11" s="30" t="str">
        <x:v>Variáveis fisiológicas</x:v>
      </x:c>
      <x:c r="B11" s="30" t="str"/>
      <x:c r="C11" s="30" t="str">
        <x:v>Piores valores próximos à admissão</x:v>
      </x:c>
    </x:row>
    <x:row r="12">
      <x:c r="A12" s="30" t="str">
        <x:v>SAPS3 total</x:v>
      </x:c>
      <x:c r="B12" s="30" t="str"/>
      <x:c r="C12" s="30" t="str">
        <x:v>Inserir escore calculado</x:v>
      </x:c>
    </x:row>
    <x:row r="13">
      <x:c r="A13" s="30" t="str">
        <x:v>Mortalidade global estimada</x:v>
      </x:c>
      <x:c r="B13" s="30" t="str">
        <x:f>IF(B12="","",1/(1+EXP(-(-32.6659+LN(B12+20.5958)*7.3068))))</x:f>
      </x:c>
      <x:c r="C13" s="30" t="str">
        <x:v>Estimativa matemática do modelo global clássico</x:v>
      </x:c>
    </x:row>
    <x:row r="14">
      <x:c r="A14" s="30" t="str">
        <x:v>Mortalidade América do Sul</x:v>
      </x:c>
      <x:c r="B14" s="64" t="str"/>
      <x:c r="C14" s="30" t="str">
        <x:v>Preencher por calculadora validada/local quando disponível</x:v>
      </x:c>
    </x:row>
    <x:row r="15">
      <x:c r="A15" s="30" t="str">
        <x:v>Classificação</x:v>
      </x:c>
      <x:c r="B15" s="30" t="str">
        <x:f>IF(B12="","",IF(B12&gt;=75,"Muito alto",IF(B12&gt;=55,"Alto",IF(B12&gt;=35,"Intermediário","Baixo"))))</x:f>
      </x:c>
      <x:c r="C15" s="30" t="str">
        <x:v>Faixas operacionais para triagem/riscos</x:v>
      </x:c>
    </x:row>
    <x:row r="16">
      <x:c r="A16" s="30"/>
      <x:c r="B16" s="30"/>
      <x:c r="C16" s="30"/>
    </x:row>
    <x:row r="19">
      <x:c r="A19" s="24" t="str">
        <x:v>Faixa operacional</x:v>
      </x:c>
      <x:c r="B19" s="24" t="str">
        <x:v>SAPS3 aproximado</x:v>
      </x:c>
      <x:c r="C19" s="24" t="str">
        <x:v>Interpretação prática</x:v>
      </x:c>
      <x:c r="D19" s="24" t="str">
        <x:v>Ação sugerida</x:v>
      </x:c>
    </x:row>
    <x:row r="20">
      <x:c r="A20" s="56" t="str">
        <x:v>Baixo</x:v>
      </x:c>
      <x:c r="B20" s="56" t="str">
        <x:v>&lt;35</x:v>
      </x:c>
      <x:c r="C20" s="56" t="str">
        <x:v>Menor risco relativo; monitorar tendência e comorbidades.</x:v>
      </x:c>
      <x:c r="D20" s="56" t="str">
        <x:v>Reavaliar metas e critérios de alta se estável.</x:v>
      </x:c>
    </x:row>
    <x:row r="21">
      <x:c r="A21" s="56" t="str">
        <x:v>Intermediário</x:v>
      </x:c>
      <x:c r="B21" s="56" t="str">
        <x:v>35–54</x:v>
      </x:c>
      <x:c r="C21" s="56" t="str">
        <x:v>Risco moderado; atenção a deterioração e suporte evolutivo.</x:v>
      </x:c>
      <x:c r="D21" s="56" t="str">
        <x:v>Revisar diariamente suporte e bundle.</x:v>
      </x:c>
    </x:row>
    <x:row r="22">
      <x:c r="A22" s="56" t="str">
        <x:v>Alto</x:v>
      </x:c>
      <x:c r="B22" s="56" t="str">
        <x:v>55–74</x:v>
      </x:c>
      <x:c r="C22" s="56" t="str">
        <x:v>Alta gravidade; risco de piora/mortalidade.</x:v>
      </x:c>
      <x:c r="D22" s="56" t="str">
        <x:v>Round dirigido por problemas e metas de 24h.</x:v>
      </x:c>
    </x:row>
    <x:row r="23">
      <x:c r="A23" s="56" t="str">
        <x:v>Muito alto</x:v>
      </x:c>
      <x:c r="B23" s="56" t="str">
        <x:v>≥75</x:v>
      </x:c>
      <x:c r="C23" s="56" t="str">
        <x:v>Gravidade muito elevada; considerar prognóstico, metas e comunicação familiar.</x:v>
      </x:c>
      <x:c r="D23" s="56" t="str">
        <x:v>Priorizar reavaliação multiprofissional e objetivos terapêuticos.</x:v>
      </x:c>
    </x:row>
    <x:row r="26">
      <x:c r="A26" s="24" t="str">
        <x:v>Prioridade</x:v>
      </x:c>
      <x:c r="B26" s="24" t="str">
        <x:v>Descrição operacional</x:v>
      </x:c>
      <x:c r="C26" s="24" t="str">
        <x:v>Exemplos</x:v>
      </x:c>
      <x:c r="D26" s="24" t="str">
        <x:v>Conduta sugerida</x:v>
      </x:c>
      <x:c r="E26" s="24" t="str">
        <x:v>Reavaliação</x:v>
      </x:c>
    </x:row>
    <x:row r="27">
      <x:c r="A27" s="56" t="str">
        <x:v>P1</x:v>
      </x:c>
      <x:c r="B27" s="56" t="str">
        <x:v>Paciente criticamente enfermo, instável, com necessidade de suporte intensivo pleno.</x:v>
      </x:c>
      <x:c r="C27" s="56" t="str">
        <x:v>Choque, VM, DVA, sepse, IRpA, PO crítico.</x:v>
      </x:c>
      <x:c r="D27" s="56" t="str">
        <x:v>UTI plena, metas horárias, comunicação com equipe/família.</x:v>
      </x:c>
      <x:c r="E27" s="56" t="str">
        <x:v>Contínua/horária</x:v>
      </x:c>
    </x:row>
    <x:row r="28">
      <x:c r="A28" s="56" t="str">
        <x:v>P2</x:v>
      </x:c>
      <x:c r="B28" s="56" t="str">
        <x:v>Alto risco de deterioração ou necessidade provável de intervenção imediata.</x:v>
      </x:c>
      <x:c r="C28" s="56" t="str">
        <x:v>Monitorização intensiva, risco de choque/IRpA, pós-operatório de alto risco.</x:v>
      </x:c>
      <x:c r="D28" s="56" t="str">
        <x:v>Monitorar estreitamente, prevenir deterioração.</x:v>
      </x:c>
      <x:c r="E28" s="56" t="str">
        <x:v>2–6 h</x:v>
      </x:c>
    </x:row>
    <x:row r="29">
      <x:c r="A29" s="56" t="str">
        <x:v>P3</x:v>
      </x:c>
      <x:c r="B29" s="56" t="str">
        <x:v>Doença crítica com baixa probabilidade de recuperação significativa ou limitação terapêutica parcial.</x:v>
      </x:c>
      <x:c r="C29" s="56" t="str">
        <x:v>Comorbidade avançada, fragilidade extrema, limitação parcial.</x:v>
      </x:c>
      <x:c r="D29" s="56" t="str">
        <x:v>Alinhar objetivos, proporcionalidade terapêutica.</x:v>
      </x:c>
      <x:c r="E29" s="56" t="str">
        <x:v>6–12 h</x:v>
      </x:c>
    </x:row>
    <x:row r="30">
      <x:c r="A30" s="56" t="str">
        <x:v>P4</x:v>
      </x:c>
      <x:c r="B30" s="56" t="str">
        <x:v>Muito estável para UTI ou prognóstico extremamente reservado sem benefício esperado.</x:v>
      </x:c>
      <x:c r="C30" s="56" t="str">
        <x:v>Baixa necessidade de suporte ou cuidados fúteis/desproporcionais.</x:v>
      </x:c>
      <x:c r="D30" s="56" t="str">
        <x:v>Considerar unidade intermediária, cuidados paliativos ou enfermaria monitorizada.</x:v>
      </x:c>
      <x:c r="E30" s="56" t="str">
        <x:v>Conforme contexto</x:v>
      </x:c>
    </x:row>
    <x:row r="33">
      <x:c r="A33" s="35" t="str">
        <x:v>ATENÇÃO ⚠️: SAPS3 é ferramenta prognóstica populacional; não deve ser usado isoladamente para limitar cuidado. A prioridade P1–P4 deve considerar reversibilidade, disponibilidade, desejos do paciente/família, proporcionalidade e protocolo institucional.</x:v>
      </x:c>
    </x:row>
  </x:sheetData>
  <x:mergeCells>
    <x:mergeCell ref="A1:J1"/>
    <x:mergeCell ref="A2:J2"/>
    <x:mergeCell ref="A33:J35"/>
  </x:mergeCells>
  <x:pageMargins left="0.7" right="0.7" top="0.75" bottom="0.75" header="0.3" footer="0.3"/>
  <x:tableParts count="2">
    <x:tablePart xmlns:r="http://schemas.openxmlformats.org/officeDocument/2006/relationships" r:id="R8b65950ea72949ae"/>
    <x:tablePart xmlns:r="http://schemas.openxmlformats.org/officeDocument/2006/relationships" r:id="R7fa891c088d447c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4" hidden="0" customWidth="1"/>
    <x:col min="4" max="4" width="16" hidden="0" customWidth="1"/>
    <x:col min="5" max="5" width="14" hidden="0" customWidth="1"/>
    <x:col min="6" max="6" width="10" hidden="0" customWidth="1"/>
    <x:col min="7" max="7" width="15" hidden="0" customWidth="1"/>
    <x:col min="8" max="8" width="18" hidden="0" customWidth="1"/>
    <x:col min="9" max="9" width="18" hidden="0" customWidth="1"/>
    <x:col min="10" max="10" width="16" hidden="0" customWidth="1"/>
    <x:col min="11" max="11" width="14" hidden="0" customWidth="1"/>
    <x:col min="12" max="12" width="32" hidden="0" customWidth="1"/>
    <x:col min="13" max="13" width="32" hidden="0" customWidth="1"/>
    <x:col min="15" max="15" width="24" hidden="0" customWidth="1"/>
    <x:col min="16" max="16" width="18" hidden="0" customWidth="1"/>
    <x:col min="17" max="17" width="45" hidden="0" customWidth="1"/>
    <x:col min="18" max="18" width="45" hidden="0" customWidth="1"/>
  </x:cols>
  <x:sheetData>
    <x:row r="1" ht="30" customHeight="1">
      <x:c r="A1" s="76" t="str">
        <x:v>DEVICES E TEMPO DE TROCA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Controle diário de dispositivos: dias de uso, indicação atual, sinais de infecção e necessidade de retirada.</x:v>
      </x:c>
    </x:row>
    <x:row r="4">
      <x:c r="A4" s="24" t="str">
        <x:v>Leito</x:v>
      </x:c>
      <x:c r="B4" s="24" t="str">
        <x:v>Paciente</x:v>
      </x:c>
      <x:c r="C4" s="24" t="str">
        <x:v>Dispositivo</x:v>
      </x:c>
      <x:c r="D4" s="24" t="str">
        <x:v>Local</x:v>
      </x:c>
      <x:c r="E4" s="24" t="str">
        <x:v>Data inserção</x:v>
      </x:c>
      <x:c r="F4" s="24" t="str">
        <x:v>Dia atual</x:v>
      </x:c>
      <x:c r="G4" s="24" t="str">
        <x:v>Prazo sugerido</x:v>
      </x:c>
      <x:c r="H4" s="24" t="str">
        <x:v>Data prevista troca</x:v>
      </x:c>
      <x:c r="I4" s="24" t="str">
        <x:v>Indicação presente?</x:v>
      </x:c>
      <x:c r="J4" s="24" t="str">
        <x:v>Sinais infecção?</x:v>
      </x:c>
      <x:c r="K4" s="24" t="str">
        <x:v>Retirar hoje?</x:v>
      </x:c>
      <x:c r="L4" s="24" t="str">
        <x:v>Orientação</x:v>
      </x:c>
      <x:c r="M4" s="24" t="str">
        <x:v>Observações</x:v>
      </x:c>
      <x:c r="O4" s="24" t="str">
        <x:v>Dispositivo</x:v>
      </x:c>
      <x:c r="P4" s="24" t="str">
        <x:v>Troca rotineira?</x:v>
      </x:c>
      <x:c r="Q4" s="24" t="str">
        <x:v>Conduta prática</x:v>
      </x:c>
      <x:c r="R4" s="24" t="str">
        <x:v>Ponto de segurança</x:v>
      </x:c>
    </x:row>
    <x:row r="5">
      <x:c r="A5" s="56" t="str"/>
      <x:c r="B5" s="56" t="str"/>
      <x:c r="C5" s="56" t="str"/>
      <x:c r="D5" s="56" t="str"/>
      <x:c r="E5" s="60" t="str"/>
      <x:c r="F5" s="56" t="str">
        <x:f>IF(E5="","",TODAY()-E5+1)</x:f>
      </x:c>
      <x:c r="G5" s="56" t="str"/>
      <x:c r="H5" s="60" t="str">
        <x:f>IF(OR(E5="",G5=""),"",IF(ISNUMBER(G5),E5+G5,"Revisar indicação"))</x:f>
      </x:c>
      <x:c r="I5" s="56" t="str"/>
      <x:c r="J5" s="56" t="str"/>
      <x:c r="K5" s="56" t="str">
        <x:f>IF(A5="","",IF(I5="Não","Sim",IF(J5="Sim","Sim",IF(AND(ISNUMBER(G5),F5&gt;G5),"Revisar","Não"))))</x:f>
      </x:c>
      <x:c r="L5" s="56" t="str"/>
      <x:c r="M5" s="56" t="str"/>
      <x:c r="O5" s="56" t="str">
        <x:v>CVC</x:v>
      </x:c>
      <x:c r="P5" s="56" t="str">
        <x:v>Não</x:v>
      </x:c>
      <x:c r="Q5" s="56" t="str">
        <x:v>Não trocar por rotina; retirar se sem indicação ou suspeita/confirmada infecção.</x:v>
      </x:c>
      <x:c r="R5" s="56" t="str">
        <x:v>Checklist diário de necessidade.</x:v>
      </x:c>
    </x:row>
    <x:row r="6">
      <x:c r="A6" s="56" t="str"/>
      <x:c r="B6" s="56" t="str"/>
      <x:c r="C6" s="56" t="str"/>
      <x:c r="D6" s="56" t="str"/>
      <x:c r="E6" s="60" t="str"/>
      <x:c r="F6" s="56" t="str">
        <x:f>IF(E6="","",TODAY()-E6+1)</x:f>
      </x:c>
      <x:c r="G6" s="56" t="str"/>
      <x:c r="H6" s="60" t="str">
        <x:f>IF(OR(E6="",G6=""),"",IF(ISNUMBER(G6),E6+G6,"Revisar indicação"))</x:f>
      </x:c>
      <x:c r="I6" s="56" t="str"/>
      <x:c r="J6" s="56" t="str"/>
      <x:c r="K6" s="56" t="str">
        <x:f>IF(A6="","",IF(I6="Não","Sim",IF(J6="Sim","Sim",IF(AND(ISNUMBER(G6),F6&gt;G6),"Revisar","Não"))))</x:f>
      </x:c>
      <x:c r="L6" s="56" t="str"/>
      <x:c r="M6" s="56" t="str"/>
      <x:c r="O6" s="56" t="str">
        <x:v>PAM / linha arterial</x:v>
      </x:c>
      <x:c r="P6" s="56" t="str">
        <x:v>Não</x:v>
      </x:c>
      <x:c r="Q6" s="56" t="str">
        <x:v>Manter se monitorização invasiva necessária; retirar precocemente.</x:v>
      </x:c>
      <x:c r="R6" s="56" t="str">
        <x:v>Avaliar isquemia, infecção e curva.</x:v>
      </x:c>
    </x:row>
    <x:row r="7">
      <x:c r="A7" s="56" t="str"/>
      <x:c r="B7" s="56" t="str"/>
      <x:c r="C7" s="56" t="str"/>
      <x:c r="D7" s="56" t="str"/>
      <x:c r="E7" s="60" t="str"/>
      <x:c r="F7" s="56" t="str">
        <x:f>IF(E7="","",TODAY()-E7+1)</x:f>
      </x:c>
      <x:c r="G7" s="56" t="str"/>
      <x:c r="H7" s="60" t="str">
        <x:f>IF(OR(E7="",G7=""),"",IF(ISNUMBER(G7),E7+G7,"Revisar indicação"))</x:f>
      </x:c>
      <x:c r="I7" s="56" t="str"/>
      <x:c r="J7" s="56" t="str"/>
      <x:c r="K7" s="56" t="str">
        <x:f>IF(A7="","",IF(I7="Não","Sim",IF(J7="Sim","Sim",IF(AND(ISNUMBER(G7),F7&gt;G7),"Revisar","Não"))))</x:f>
      </x:c>
      <x:c r="L7" s="56" t="str"/>
      <x:c r="M7" s="56" t="str"/>
      <x:c r="O7" s="56" t="str">
        <x:v>SVD</x:v>
      </x:c>
      <x:c r="P7" s="56" t="str">
        <x:v>Não</x:v>
      </x:c>
      <x:c r="Q7" s="56" t="str">
        <x:v>Retirar assim que não houver indicação rigorosa.</x:v>
      </x:c>
      <x:c r="R7" s="56" t="str">
        <x:v>Risco CAUTI aumenta com dias de uso.</x:v>
      </x:c>
    </x:row>
    <x:row r="8">
      <x:c r="A8" s="56" t="str"/>
      <x:c r="B8" s="56" t="str"/>
      <x:c r="C8" s="56" t="str"/>
      <x:c r="D8" s="56" t="str"/>
      <x:c r="E8" s="60" t="str"/>
      <x:c r="F8" s="56" t="str">
        <x:f>IF(E8="","",TODAY()-E8+1)</x:f>
      </x:c>
      <x:c r="G8" s="56" t="str"/>
      <x:c r="H8" s="60" t="str">
        <x:f>IF(OR(E8="",G8=""),"",IF(ISNUMBER(G8),E8+G8,"Revisar indicação"))</x:f>
      </x:c>
      <x:c r="I8" s="56" t="str"/>
      <x:c r="J8" s="56" t="str"/>
      <x:c r="K8" s="56" t="str">
        <x:f>IF(A8="","",IF(I8="Não","Sim",IF(J8="Sim","Sim",IF(AND(ISNUMBER(G8),F8&gt;G8),"Revisar","Não"))))</x:f>
      </x:c>
      <x:c r="L8" s="56" t="str"/>
      <x:c r="M8" s="56" t="str"/>
      <x:c r="O8" s="56" t="str">
        <x:v>SNE/SNG</x:v>
      </x:c>
      <x:c r="P8" s="56" t="str">
        <x:v>Conforme protocolo</x:v>
      </x:c>
      <x:c r="Q8" s="56" t="str">
        <x:v>Revisar posicionamento, obstrução, dieta e risco de broncoaspiração.</x:v>
      </x:c>
      <x:c r="R8" s="56" t="str">
        <x:v>Confirmar posicionamento quando indicado.</x:v>
      </x:c>
    </x:row>
    <x:row r="9">
      <x:c r="A9" s="56" t="str"/>
      <x:c r="B9" s="56" t="str"/>
      <x:c r="C9" s="56" t="str"/>
      <x:c r="D9" s="56" t="str"/>
      <x:c r="E9" s="60" t="str"/>
      <x:c r="F9" s="56" t="str">
        <x:f>IF(E9="","",TODAY()-E9+1)</x:f>
      </x:c>
      <x:c r="G9" s="56" t="str"/>
      <x:c r="H9" s="60" t="str">
        <x:f>IF(OR(E9="",G9=""),"",IF(ISNUMBER(G9),E9+G9,"Revisar indicação"))</x:f>
      </x:c>
      <x:c r="I9" s="56" t="str"/>
      <x:c r="J9" s="56" t="str"/>
      <x:c r="K9" s="56" t="str">
        <x:f>IF(A9="","",IF(I9="Não","Sim",IF(J9="Sim","Sim",IF(AND(ISNUMBER(G9),F9&gt;G9),"Revisar","Não"))))</x:f>
      </x:c>
      <x:c r="L9" s="56" t="str"/>
      <x:c r="M9" s="56" t="str"/>
      <x:c r="O9" s="56" t="str">
        <x:v>TOT</x:v>
      </x:c>
      <x:c r="P9" s="56" t="str">
        <x:v>Não por rotina</x:v>
      </x:c>
      <x:c r="Q9" s="56" t="str">
        <x:v>Avaliar cuff, fixação, pressão cuff e extubação diária.</x:v>
      </x:c>
      <x:c r="R9" s="56" t="str">
        <x:v>Prevenir PAV e lesão traqueal.</x:v>
      </x:c>
    </x:row>
    <x:row r="10">
      <x:c r="A10" s="56" t="str"/>
      <x:c r="B10" s="56" t="str"/>
      <x:c r="C10" s="56" t="str"/>
      <x:c r="D10" s="56" t="str"/>
      <x:c r="E10" s="60" t="str"/>
      <x:c r="F10" s="56" t="str">
        <x:f>IF(E10="","",TODAY()-E10+1)</x:f>
      </x:c>
      <x:c r="G10" s="56" t="str"/>
      <x:c r="H10" s="60" t="str">
        <x:f>IF(OR(E10="",G10=""),"",IF(ISNUMBER(G10),E10+G10,"Revisar indicação"))</x:f>
      </x:c>
      <x:c r="I10" s="56" t="str"/>
      <x:c r="J10" s="56" t="str"/>
      <x:c r="K10" s="56" t="str">
        <x:f>IF(A10="","",IF(I10="Não","Sim",IF(J10="Sim","Sim",IF(AND(ISNUMBER(G10),F10&gt;G10),"Revisar","Não"))))</x:f>
      </x:c>
      <x:c r="L10" s="56" t="str"/>
      <x:c r="M10" s="56" t="str"/>
      <x:c r="O10" s="56" t="str">
        <x:v>TQT</x:v>
      </x:c>
      <x:c r="P10" s="56" t="str">
        <x:v>Conforme protocolo</x:v>
      </x:c>
      <x:c r="Q10" s="56" t="str">
        <x:v>Revisar cânula, cuff, secreção, curativo e decanulação.</x:v>
      </x:c>
      <x:c r="R10" s="56" t="str">
        <x:v>Trocas conforme serviço/equipe.</x:v>
      </x:c>
    </x:row>
    <x:row r="11">
      <x:c r="A11" s="56" t="str"/>
      <x:c r="B11" s="56" t="str"/>
      <x:c r="C11" s="56" t="str"/>
      <x:c r="D11" s="56" t="str"/>
      <x:c r="E11" s="60" t="str"/>
      <x:c r="F11" s="56" t="str">
        <x:f>IF(E11="","",TODAY()-E11+1)</x:f>
      </x:c>
      <x:c r="G11" s="56" t="str"/>
      <x:c r="H11" s="60" t="str">
        <x:f>IF(OR(E11="",G11=""),"",IF(ISNUMBER(G11),E11+G11,"Revisar indicação"))</x:f>
      </x:c>
      <x:c r="I11" s="56" t="str"/>
      <x:c r="J11" s="56" t="str"/>
      <x:c r="K11" s="56" t="str">
        <x:f>IF(A11="","",IF(I11="Não","Sim",IF(J11="Sim","Sim",IF(AND(ISNUMBER(G11),F11&gt;G11),"Revisar","Não"))))</x:f>
      </x:c>
      <x:c r="L11" s="56" t="str"/>
      <x:c r="M11" s="56" t="str"/>
      <x:c r="O11" s="56" t="str">
        <x:v>Cateter HD</x:v>
      </x:c>
      <x:c r="P11" s="56" t="str">
        <x:v>Não</x:v>
      </x:c>
      <x:c r="Q11" s="56" t="str">
        <x:v>Evitar permanência se sem diálise; preferir acesso adequado se necessidade prolongada.</x:v>
      </x:c>
      <x:c r="R11" s="56" t="str">
        <x:v>Alto risco infeccioso.</x:v>
      </x:c>
    </x:row>
    <x:row r="12">
      <x:c r="A12" s="56" t="str"/>
      <x:c r="B12" s="56" t="str"/>
      <x:c r="C12" s="56" t="str"/>
      <x:c r="D12" s="56" t="str"/>
      <x:c r="E12" s="60" t="str"/>
      <x:c r="F12" s="56" t="str">
        <x:f>IF(E12="","",TODAY()-E12+1)</x:f>
      </x:c>
      <x:c r="G12" s="56" t="str"/>
      <x:c r="H12" s="60" t="str">
        <x:f>IF(OR(E12="",G12=""),"",IF(ISNUMBER(G12),E12+G12,"Revisar indicação"))</x:f>
      </x:c>
      <x:c r="I12" s="56" t="str"/>
      <x:c r="J12" s="56" t="str"/>
      <x:c r="K12" s="56" t="str">
        <x:f>IF(A12="","",IF(I12="Não","Sim",IF(J12="Sim","Sim",IF(AND(ISNUMBER(G12),F12&gt;G12),"Revisar","Não"))))</x:f>
      </x:c>
      <x:c r="L12" s="56" t="str"/>
      <x:c r="M12" s="56" t="str"/>
      <x:c r="O12" s="56" t="str">
        <x:v>DVE/Dreno lombar</x:v>
      </x:c>
      <x:c r="P12" s="56" t="str">
        <x:v>Equipe neuro</x:v>
      </x:c>
      <x:c r="Q12" s="56" t="str">
        <x:v>Manuseio estéril e meta de drenagem conforme neurocirurgia.</x:v>
      </x:c>
      <x:c r="R12" s="56" t="str">
        <x:v>Alto risco de ventriculite/meningite.</x:v>
      </x:c>
    </x:row>
    <x:row r="13">
      <x:c r="A13" s="56" t="str"/>
      <x:c r="B13" s="56" t="str"/>
      <x:c r="C13" s="56" t="str"/>
      <x:c r="D13" s="56" t="str"/>
      <x:c r="E13" s="60" t="str"/>
      <x:c r="F13" s="56" t="str">
        <x:f>IF(E13="","",TODAY()-E13+1)</x:f>
      </x:c>
      <x:c r="G13" s="56" t="str"/>
      <x:c r="H13" s="60" t="str">
        <x:f>IF(OR(E13="",G13=""),"",IF(ISNUMBER(G13),E13+G13,"Revisar indicação"))</x:f>
      </x:c>
      <x:c r="I13" s="56" t="str"/>
      <x:c r="J13" s="56" t="str"/>
      <x:c r="K13" s="56" t="str">
        <x:f>IF(A13="","",IF(I13="Não","Sim",IF(J13="Sim","Sim",IF(AND(ISNUMBER(G13),F13&gt;G13),"Revisar","Não"))))</x:f>
      </x:c>
      <x:c r="L13" s="56" t="str"/>
      <x:c r="M13" s="56" t="str"/>
      <x:c r="O13" s="56" t="str">
        <x:v>ECMO/BIA</x:v>
      </x:c>
      <x:c r="P13" s="56" t="str">
        <x:v>Equipe especializada</x:v>
      </x:c>
      <x:c r="Q13" s="56" t="str">
        <x:v>Checklist de anticoagulação, perfusão, alarmes e complicações.</x:v>
      </x:c>
      <x:c r="R13" s="56" t="str">
        <x:v>Eventos críticos demandam protocolo.</x:v>
      </x:c>
    </x:row>
    <x:row r="14">
      <x:c r="A14" s="56" t="str"/>
      <x:c r="B14" s="56" t="str"/>
      <x:c r="C14" s="56" t="str"/>
      <x:c r="D14" s="56" t="str"/>
      <x:c r="E14" s="60" t="str"/>
      <x:c r="F14" s="56" t="str">
        <x:f>IF(E14="","",TODAY()-E14+1)</x:f>
      </x:c>
      <x:c r="G14" s="56" t="str"/>
      <x:c r="H14" s="60" t="str">
        <x:f>IF(OR(E14="",G14=""),"",IF(ISNUMBER(G14),E14+G14,"Revisar indicação"))</x:f>
      </x:c>
      <x:c r="I14" s="56" t="str"/>
      <x:c r="J14" s="56" t="str"/>
      <x:c r="K14" s="56" t="str">
        <x:f>IF(A14="","",IF(I14="Não","Sim",IF(J14="Sim","Sim",IF(AND(ISNUMBER(G14),F14&gt;G14),"Revisar","Não"))))</x:f>
      </x:c>
      <x:c r="L14" s="56" t="str"/>
      <x:c r="M14" s="56" t="str"/>
    </x:row>
    <x:row r="15">
      <x:c r="A15" s="56" t="str"/>
      <x:c r="B15" s="56" t="str"/>
      <x:c r="C15" s="56" t="str"/>
      <x:c r="D15" s="56" t="str"/>
      <x:c r="E15" s="60" t="str"/>
      <x:c r="F15" s="56" t="str">
        <x:f>IF(E15="","",TODAY()-E15+1)</x:f>
      </x:c>
      <x:c r="G15" s="56" t="str"/>
      <x:c r="H15" s="60" t="str">
        <x:f>IF(OR(E15="",G15=""),"",IF(ISNUMBER(G15),E15+G15,"Revisar indicação"))</x:f>
      </x:c>
      <x:c r="I15" s="56" t="str"/>
      <x:c r="J15" s="56" t="str"/>
      <x:c r="K15" s="56" t="str">
        <x:f>IF(A15="","",IF(I15="Não","Sim",IF(J15="Sim","Sim",IF(AND(ISNUMBER(G15),F15&gt;G15),"Revisar","Não"))))</x:f>
      </x:c>
      <x:c r="L15" s="56" t="str"/>
      <x:c r="M15" s="56" t="str"/>
    </x:row>
    <x:row r="16">
      <x:c r="A16" s="56" t="str"/>
      <x:c r="B16" s="56" t="str"/>
      <x:c r="C16" s="56" t="str"/>
      <x:c r="D16" s="56" t="str"/>
      <x:c r="E16" s="60" t="str"/>
      <x:c r="F16" s="56" t="str">
        <x:f>IF(E16="","",TODAY()-E16+1)</x:f>
      </x:c>
      <x:c r="G16" s="56" t="str"/>
      <x:c r="H16" s="60" t="str">
        <x:f>IF(OR(E16="",G16=""),"",IF(ISNUMBER(G16),E16+G16,"Revisar indicação"))</x:f>
      </x:c>
      <x:c r="I16" s="56" t="str"/>
      <x:c r="J16" s="56" t="str"/>
      <x:c r="K16" s="56" t="str">
        <x:f>IF(A16="","",IF(I16="Não","Sim",IF(J16="Sim","Sim",IF(AND(ISNUMBER(G16),F16&gt;G16),"Revisar","Não"))))</x:f>
      </x:c>
      <x:c r="L16" s="56" t="str"/>
      <x:c r="M16" s="56" t="str"/>
    </x:row>
    <x:row r="17">
      <x:c r="A17" s="56" t="str"/>
      <x:c r="B17" s="56" t="str"/>
      <x:c r="C17" s="56" t="str"/>
      <x:c r="D17" s="56" t="str"/>
      <x:c r="E17" s="60" t="str"/>
      <x:c r="F17" s="56" t="str">
        <x:f>IF(E17="","",TODAY()-E17+1)</x:f>
      </x:c>
      <x:c r="G17" s="56" t="str"/>
      <x:c r="H17" s="60" t="str">
        <x:f>IF(OR(E17="",G17=""),"",IF(ISNUMBER(G17),E17+G17,"Revisar indicação"))</x:f>
      </x:c>
      <x:c r="I17" s="56" t="str"/>
      <x:c r="J17" s="56" t="str"/>
      <x:c r="K17" s="56" t="str">
        <x:f>IF(A17="","",IF(I17="Não","Sim",IF(J17="Sim","Sim",IF(AND(ISNUMBER(G17),F17&gt;G17),"Revisar","Não"))))</x:f>
      </x:c>
      <x:c r="L17" s="56" t="str"/>
      <x:c r="M17" s="56" t="str"/>
    </x:row>
    <x:row r="18">
      <x:c r="A18" s="56" t="str"/>
      <x:c r="B18" s="56" t="str"/>
      <x:c r="C18" s="56" t="str"/>
      <x:c r="D18" s="56" t="str"/>
      <x:c r="E18" s="60" t="str"/>
      <x:c r="F18" s="56" t="str">
        <x:f>IF(E18="","",TODAY()-E18+1)</x:f>
      </x:c>
      <x:c r="G18" s="56" t="str"/>
      <x:c r="H18" s="60" t="str">
        <x:f>IF(OR(E18="",G18=""),"",IF(ISNUMBER(G18),E18+G18,"Revisar indicação"))</x:f>
      </x:c>
      <x:c r="I18" s="56" t="str"/>
      <x:c r="J18" s="56" t="str"/>
      <x:c r="K18" s="56" t="str">
        <x:f>IF(A18="","",IF(I18="Não","Sim",IF(J18="Sim","Sim",IF(AND(ISNUMBER(G18),F18&gt;G18),"Revisar","Não"))))</x:f>
      </x:c>
      <x:c r="L18" s="56" t="str"/>
      <x:c r="M18" s="56" t="str"/>
    </x:row>
    <x:row r="19">
      <x:c r="A19" s="56" t="str"/>
      <x:c r="B19" s="56" t="str"/>
      <x:c r="C19" s="56" t="str"/>
      <x:c r="D19" s="56" t="str"/>
      <x:c r="E19" s="60" t="str"/>
      <x:c r="F19" s="56" t="str">
        <x:f>IF(E19="","",TODAY()-E19+1)</x:f>
      </x:c>
      <x:c r="G19" s="56" t="str"/>
      <x:c r="H19" s="60" t="str">
        <x:f>IF(OR(E19="",G19=""),"",IF(ISNUMBER(G19),E19+G19,"Revisar indicação"))</x:f>
      </x:c>
      <x:c r="I19" s="56" t="str"/>
      <x:c r="J19" s="56" t="str"/>
      <x:c r="K19" s="56" t="str">
        <x:f>IF(A19="","",IF(I19="Não","Sim",IF(J19="Sim","Sim",IF(AND(ISNUMBER(G19),F19&gt;G19),"Revisar","Não"))))</x:f>
      </x:c>
      <x:c r="L19" s="56" t="str"/>
      <x:c r="M19" s="56" t="str"/>
    </x:row>
    <x:row r="20">
      <x:c r="A20" s="56" t="str"/>
      <x:c r="B20" s="56" t="str"/>
      <x:c r="C20" s="56" t="str"/>
      <x:c r="D20" s="56" t="str"/>
      <x:c r="E20" s="60" t="str"/>
      <x:c r="F20" s="56" t="str">
        <x:f>IF(E20="","",TODAY()-E20+1)</x:f>
      </x:c>
      <x:c r="G20" s="56" t="str"/>
      <x:c r="H20" s="60" t="str">
        <x:f>IF(OR(E20="",G20=""),"",IF(ISNUMBER(G20),E20+G20,"Revisar indicação"))</x:f>
      </x:c>
      <x:c r="I20" s="56" t="str"/>
      <x:c r="J20" s="56" t="str"/>
      <x:c r="K20" s="56" t="str">
        <x:f>IF(A20="","",IF(I20="Não","Sim",IF(J20="Sim","Sim",IF(AND(ISNUMBER(G20),F20&gt;G20),"Revisar","Não"))))</x:f>
      </x:c>
      <x:c r="L20" s="56" t="str"/>
      <x:c r="M20" s="56" t="str"/>
    </x:row>
    <x:row r="21">
      <x:c r="A21" s="56" t="str"/>
      <x:c r="B21" s="56" t="str"/>
      <x:c r="C21" s="56" t="str"/>
      <x:c r="D21" s="56" t="str"/>
      <x:c r="E21" s="60" t="str"/>
      <x:c r="F21" s="56" t="str">
        <x:f>IF(E21="","",TODAY()-E21+1)</x:f>
      </x:c>
      <x:c r="G21" s="56" t="str"/>
      <x:c r="H21" s="60" t="str">
        <x:f>IF(OR(E21="",G21=""),"",IF(ISNUMBER(G21),E21+G21,"Revisar indicação"))</x:f>
      </x:c>
      <x:c r="I21" s="56" t="str"/>
      <x:c r="J21" s="56" t="str"/>
      <x:c r="K21" s="56" t="str">
        <x:f>IF(A21="","",IF(I21="Não","Sim",IF(J21="Sim","Sim",IF(AND(ISNUMBER(G21),F21&gt;G21),"Revisar","Não"))))</x:f>
      </x:c>
      <x:c r="L21" s="56" t="str"/>
      <x:c r="M21" s="56" t="str"/>
    </x:row>
    <x:row r="22">
      <x:c r="A22" s="56" t="str"/>
      <x:c r="B22" s="56" t="str"/>
      <x:c r="C22" s="56" t="str"/>
      <x:c r="D22" s="56" t="str"/>
      <x:c r="E22" s="60" t="str"/>
      <x:c r="F22" s="56" t="str">
        <x:f>IF(E22="","",TODAY()-E22+1)</x:f>
      </x:c>
      <x:c r="G22" s="56" t="str"/>
      <x:c r="H22" s="60" t="str">
        <x:f>IF(OR(E22="",G22=""),"",IF(ISNUMBER(G22),E22+G22,"Revisar indicação"))</x:f>
      </x:c>
      <x:c r="I22" s="56" t="str"/>
      <x:c r="J22" s="56" t="str"/>
      <x:c r="K22" s="56" t="str">
        <x:f>IF(A22="","",IF(I22="Não","Sim",IF(J22="Sim","Sim",IF(AND(ISNUMBER(G22),F22&gt;G22),"Revisar","Não"))))</x:f>
      </x:c>
      <x:c r="L22" s="56" t="str"/>
      <x:c r="M22" s="56" t="str"/>
    </x:row>
    <x:row r="23">
      <x:c r="A23" s="56" t="str"/>
      <x:c r="B23" s="56" t="str"/>
      <x:c r="C23" s="56" t="str"/>
      <x:c r="D23" s="56" t="str"/>
      <x:c r="E23" s="60" t="str"/>
      <x:c r="F23" s="56" t="str">
        <x:f>IF(E23="","",TODAY()-E23+1)</x:f>
      </x:c>
      <x:c r="G23" s="56" t="str"/>
      <x:c r="H23" s="60" t="str">
        <x:f>IF(OR(E23="",G23=""),"",IF(ISNUMBER(G23),E23+G23,"Revisar indicação"))</x:f>
      </x:c>
      <x:c r="I23" s="56" t="str"/>
      <x:c r="J23" s="56" t="str"/>
      <x:c r="K23" s="56" t="str">
        <x:f>IF(A23="","",IF(I23="Não","Sim",IF(J23="Sim","Sim",IF(AND(ISNUMBER(G23),F23&gt;G23),"Revisar","Não"))))</x:f>
      </x:c>
      <x:c r="L23" s="56" t="str"/>
      <x:c r="M23" s="56" t="str"/>
    </x:row>
    <x:row r="24">
      <x:c r="A24" s="56" t="str"/>
      <x:c r="B24" s="56" t="str"/>
      <x:c r="C24" s="56" t="str"/>
      <x:c r="D24" s="56" t="str"/>
      <x:c r="E24" s="60" t="str"/>
      <x:c r="F24" s="56" t="str">
        <x:f>IF(E24="","",TODAY()-E24+1)</x:f>
      </x:c>
      <x:c r="G24" s="56" t="str"/>
      <x:c r="H24" s="60" t="str">
        <x:f>IF(OR(E24="",G24=""),"",IF(ISNUMBER(G24),E24+G24,"Revisar indicação"))</x:f>
      </x:c>
      <x:c r="I24" s="56" t="str"/>
      <x:c r="J24" s="56" t="str"/>
      <x:c r="K24" s="56" t="str">
        <x:f>IF(A24="","",IF(I24="Não","Sim",IF(J24="Sim","Sim",IF(AND(ISNUMBER(G24),F24&gt;G24),"Revisar","Não"))))</x:f>
      </x:c>
      <x:c r="L24" s="56" t="str"/>
      <x:c r="M24" s="56" t="str"/>
    </x:row>
    <x:row r="25">
      <x:c r="A25" s="56" t="str"/>
      <x:c r="B25" s="56" t="str"/>
      <x:c r="C25" s="56" t="str"/>
      <x:c r="D25" s="56" t="str"/>
      <x:c r="E25" s="60" t="str"/>
      <x:c r="F25" s="56" t="str">
        <x:f>IF(E25="","",TODAY()-E25+1)</x:f>
      </x:c>
      <x:c r="G25" s="56" t="str"/>
      <x:c r="H25" s="60" t="str">
        <x:f>IF(OR(E25="",G25=""),"",IF(ISNUMBER(G25),E25+G25,"Revisar indicação"))</x:f>
      </x:c>
      <x:c r="I25" s="56" t="str"/>
      <x:c r="J25" s="56" t="str"/>
      <x:c r="K25" s="56" t="str">
        <x:f>IF(A25="","",IF(I25="Não","Sim",IF(J25="Sim","Sim",IF(AND(ISNUMBER(G25),F25&gt;G25),"Revisar","Não"))))</x:f>
      </x:c>
      <x:c r="L25" s="56" t="str"/>
      <x:c r="M25" s="56" t="str"/>
    </x:row>
    <x:row r="26">
      <x:c r="A26" s="56" t="str"/>
      <x:c r="B26" s="56" t="str"/>
      <x:c r="C26" s="56" t="str"/>
      <x:c r="D26" s="56" t="str"/>
      <x:c r="E26" s="60" t="str"/>
      <x:c r="F26" s="56" t="str">
        <x:f>IF(E26="","",TODAY()-E26+1)</x:f>
      </x:c>
      <x:c r="G26" s="56" t="str"/>
      <x:c r="H26" s="60" t="str">
        <x:f>IF(OR(E26="",G26=""),"",IF(ISNUMBER(G26),E26+G26,"Revisar indicação"))</x:f>
      </x:c>
      <x:c r="I26" s="56" t="str"/>
      <x:c r="J26" s="56" t="str"/>
      <x:c r="K26" s="56" t="str">
        <x:f>IF(A26="","",IF(I26="Não","Sim",IF(J26="Sim","Sim",IF(AND(ISNUMBER(G26),F26&gt;G26),"Revisar","Não"))))</x:f>
      </x:c>
      <x:c r="L26" s="56" t="str"/>
      <x:c r="M26" s="56" t="str"/>
    </x:row>
    <x:row r="27">
      <x:c r="A27" s="56" t="str"/>
      <x:c r="B27" s="56" t="str"/>
      <x:c r="C27" s="56" t="str"/>
      <x:c r="D27" s="56" t="str"/>
      <x:c r="E27" s="60" t="str"/>
      <x:c r="F27" s="56" t="str">
        <x:f>IF(E27="","",TODAY()-E27+1)</x:f>
      </x:c>
      <x:c r="G27" s="56" t="str"/>
      <x:c r="H27" s="60" t="str">
        <x:f>IF(OR(E27="",G27=""),"",IF(ISNUMBER(G27),E27+G27,"Revisar indicação"))</x:f>
      </x:c>
      <x:c r="I27" s="56" t="str"/>
      <x:c r="J27" s="56" t="str"/>
      <x:c r="K27" s="56" t="str">
        <x:f>IF(A27="","",IF(I27="Não","Sim",IF(J27="Sim","Sim",IF(AND(ISNUMBER(G27),F27&gt;G27),"Revisar","Não"))))</x:f>
      </x:c>
      <x:c r="L27" s="56" t="str"/>
      <x:c r="M27" s="56" t="str"/>
    </x:row>
    <x:row r="28">
      <x:c r="A28" s="56" t="str"/>
      <x:c r="B28" s="56" t="str"/>
      <x:c r="C28" s="56" t="str"/>
      <x:c r="D28" s="56" t="str"/>
      <x:c r="E28" s="60" t="str"/>
      <x:c r="F28" s="56" t="str">
        <x:f>IF(E28="","",TODAY()-E28+1)</x:f>
      </x:c>
      <x:c r="G28" s="56" t="str"/>
      <x:c r="H28" s="60" t="str">
        <x:f>IF(OR(E28="",G28=""),"",IF(ISNUMBER(G28),E28+G28,"Revisar indicação"))</x:f>
      </x:c>
      <x:c r="I28" s="56" t="str"/>
      <x:c r="J28" s="56" t="str"/>
      <x:c r="K28" s="56" t="str">
        <x:f>IF(A28="","",IF(I28="Não","Sim",IF(J28="Sim","Sim",IF(AND(ISNUMBER(G28),F28&gt;G28),"Revisar","Não"))))</x:f>
      </x:c>
      <x:c r="L28" s="56" t="str"/>
      <x:c r="M28" s="56" t="str"/>
    </x:row>
    <x:row r="29">
      <x:c r="A29" s="56" t="str"/>
      <x:c r="B29" s="56" t="str"/>
      <x:c r="C29" s="56" t="str"/>
      <x:c r="D29" s="56" t="str"/>
      <x:c r="E29" s="60" t="str"/>
      <x:c r="F29" s="56" t="str">
        <x:f>IF(E29="","",TODAY()-E29+1)</x:f>
      </x:c>
      <x:c r="G29" s="56" t="str"/>
      <x:c r="H29" s="60" t="str">
        <x:f>IF(OR(E29="",G29=""),"",IF(ISNUMBER(G29),E29+G29,"Revisar indicação"))</x:f>
      </x:c>
      <x:c r="I29" s="56" t="str"/>
      <x:c r="J29" s="56" t="str"/>
      <x:c r="K29" s="56" t="str">
        <x:f>IF(A29="","",IF(I29="Não","Sim",IF(J29="Sim","Sim",IF(AND(ISNUMBER(G29),F29&gt;G29),"Revisar","Não"))))</x:f>
      </x:c>
      <x:c r="L29" s="56" t="str"/>
      <x:c r="M29" s="56" t="str"/>
    </x:row>
    <x:row r="30">
      <x:c r="A30" s="56" t="str"/>
      <x:c r="B30" s="56" t="str"/>
      <x:c r="C30" s="56" t="str"/>
      <x:c r="D30" s="56" t="str"/>
      <x:c r="E30" s="60" t="str"/>
      <x:c r="F30" s="56" t="str">
        <x:f>IF(E30="","",TODAY()-E30+1)</x:f>
      </x:c>
      <x:c r="G30" s="56" t="str"/>
      <x:c r="H30" s="60" t="str">
        <x:f>IF(OR(E30="",G30=""),"",IF(ISNUMBER(G30),E30+G30,"Revisar indicação"))</x:f>
      </x:c>
      <x:c r="I30" s="56" t="str"/>
      <x:c r="J30" s="56" t="str"/>
      <x:c r="K30" s="56" t="str">
        <x:f>IF(A30="","",IF(I30="Não","Sim",IF(J30="Sim","Sim",IF(AND(ISNUMBER(G30),F30&gt;G30),"Revisar","Não"))))</x:f>
      </x:c>
      <x:c r="L30" s="56" t="str"/>
      <x:c r="M30" s="56" t="str"/>
    </x:row>
    <x:row r="31">
      <x:c r="A31" s="56" t="str"/>
      <x:c r="B31" s="56" t="str"/>
      <x:c r="C31" s="56" t="str"/>
      <x:c r="D31" s="56" t="str"/>
      <x:c r="E31" s="60" t="str"/>
      <x:c r="F31" s="56" t="str">
        <x:f>IF(E31="","",TODAY()-E31+1)</x:f>
      </x:c>
      <x:c r="G31" s="56" t="str"/>
      <x:c r="H31" s="60" t="str">
        <x:f>IF(OR(E31="",G31=""),"",IF(ISNUMBER(G31),E31+G31,"Revisar indicação"))</x:f>
      </x:c>
      <x:c r="I31" s="56" t="str"/>
      <x:c r="J31" s="56" t="str"/>
      <x:c r="K31" s="56" t="str">
        <x:f>IF(A31="","",IF(I31="Não","Sim",IF(J31="Sim","Sim",IF(AND(ISNUMBER(G31),F31&gt;G31),"Revisar","Não"))))</x:f>
      </x:c>
      <x:c r="L31" s="56" t="str"/>
      <x:c r="M31" s="56" t="str"/>
    </x:row>
    <x:row r="32">
      <x:c r="A32" s="56" t="str"/>
      <x:c r="B32" s="56" t="str"/>
      <x:c r="C32" s="56" t="str"/>
      <x:c r="D32" s="56" t="str"/>
      <x:c r="E32" s="60" t="str"/>
      <x:c r="F32" s="56" t="str">
        <x:f>IF(E32="","",TODAY()-E32+1)</x:f>
      </x:c>
      <x:c r="G32" s="56" t="str"/>
      <x:c r="H32" s="60" t="str">
        <x:f>IF(OR(E32="",G32=""),"",IF(ISNUMBER(G32),E32+G32,"Revisar indicação"))</x:f>
      </x:c>
      <x:c r="I32" s="56" t="str"/>
      <x:c r="J32" s="56" t="str"/>
      <x:c r="K32" s="56" t="str">
        <x:f>IF(A32="","",IF(I32="Não","Sim",IF(J32="Sim","Sim",IF(AND(ISNUMBER(G32),F32&gt;G32),"Revisar","Não"))))</x:f>
      </x:c>
      <x:c r="L32" s="56" t="str"/>
      <x:c r="M32" s="56" t="str"/>
    </x:row>
    <x:row r="33">
      <x:c r="A33" s="56" t="str"/>
      <x:c r="B33" s="56" t="str"/>
      <x:c r="C33" s="56" t="str"/>
      <x:c r="D33" s="56" t="str"/>
      <x:c r="E33" s="60" t="str"/>
      <x:c r="F33" s="56" t="str">
        <x:f>IF(E33="","",TODAY()-E33+1)</x:f>
      </x:c>
      <x:c r="G33" s="56" t="str"/>
      <x:c r="H33" s="60" t="str">
        <x:f>IF(OR(E33="",G33=""),"",IF(ISNUMBER(G33),E33+G33,"Revisar indicação"))</x:f>
      </x:c>
      <x:c r="I33" s="56" t="str"/>
      <x:c r="J33" s="56" t="str"/>
      <x:c r="K33" s="56" t="str">
        <x:f>IF(A33="","",IF(I33="Não","Sim",IF(J33="Sim","Sim",IF(AND(ISNUMBER(G33),F33&gt;G33),"Revisar","Não"))))</x:f>
      </x:c>
      <x:c r="L33" s="56" t="str"/>
      <x:c r="M33" s="56" t="str"/>
    </x:row>
    <x:row r="34">
      <x:c r="A34" s="56" t="str"/>
      <x:c r="B34" s="56" t="str"/>
      <x:c r="C34" s="56" t="str"/>
      <x:c r="D34" s="56" t="str"/>
      <x:c r="E34" s="60" t="str"/>
      <x:c r="F34" s="56" t="str">
        <x:f>IF(E34="","",TODAY()-E34+1)</x:f>
      </x:c>
      <x:c r="G34" s="56" t="str"/>
      <x:c r="H34" s="60" t="str">
        <x:f>IF(OR(E34="",G34=""),"",IF(ISNUMBER(G34),E34+G34,"Revisar indicação"))</x:f>
      </x:c>
      <x:c r="I34" s="56" t="str"/>
      <x:c r="J34" s="56" t="str"/>
      <x:c r="K34" s="56" t="str">
        <x:f>IF(A34="","",IF(I34="Não","Sim",IF(J34="Sim","Sim",IF(AND(ISNUMBER(G34),F34&gt;G34),"Revisar","Não"))))</x:f>
      </x:c>
      <x:c r="L34" s="56" t="str"/>
      <x:c r="M34" s="56" t="str"/>
    </x:row>
    <x:row r="35">
      <x:c r="A35" s="56" t="str"/>
      <x:c r="B35" s="56" t="str"/>
      <x:c r="C35" s="56" t="str"/>
      <x:c r="D35" s="56" t="str"/>
      <x:c r="E35" s="60" t="str"/>
      <x:c r="F35" s="56" t="str">
        <x:f>IF(E35="","",TODAY()-E35+1)</x:f>
      </x:c>
      <x:c r="G35" s="56" t="str"/>
      <x:c r="H35" s="60" t="str">
        <x:f>IF(OR(E35="",G35=""),"",IF(ISNUMBER(G35),E35+G35,"Revisar indicação"))</x:f>
      </x:c>
      <x:c r="I35" s="56" t="str"/>
      <x:c r="J35" s="56" t="str"/>
      <x:c r="K35" s="56" t="str">
        <x:f>IF(A35="","",IF(I35="Não","Sim",IF(J35="Sim","Sim",IF(AND(ISNUMBER(G35),F35&gt;G35),"Revisar","Não"))))</x:f>
      </x:c>
      <x:c r="L35" s="56" t="str"/>
      <x:c r="M35" s="56" t="str"/>
    </x:row>
    <x:row r="36">
      <x:c r="A36" s="56" t="str"/>
      <x:c r="B36" s="56" t="str"/>
      <x:c r="C36" s="56" t="str"/>
      <x:c r="D36" s="56" t="str"/>
      <x:c r="E36" s="60" t="str"/>
      <x:c r="F36" s="56" t="str">
        <x:f>IF(E36="","",TODAY()-E36+1)</x:f>
      </x:c>
      <x:c r="G36" s="56" t="str"/>
      <x:c r="H36" s="60" t="str">
        <x:f>IF(OR(E36="",G36=""),"",IF(ISNUMBER(G36),E36+G36,"Revisar indicação"))</x:f>
      </x:c>
      <x:c r="I36" s="56" t="str"/>
      <x:c r="J36" s="56" t="str"/>
      <x:c r="K36" s="56" t="str">
        <x:f>IF(A36="","",IF(I36="Não","Sim",IF(J36="Sim","Sim",IF(AND(ISNUMBER(G36),F36&gt;G36),"Revisar","Não"))))</x:f>
      </x:c>
      <x:c r="L36" s="56" t="str"/>
      <x:c r="M36" s="56" t="str"/>
    </x:row>
    <x:row r="37">
      <x:c r="A37" s="56" t="str"/>
      <x:c r="B37" s="56" t="str"/>
      <x:c r="C37" s="56" t="str"/>
      <x:c r="D37" s="56" t="str"/>
      <x:c r="E37" s="60" t="str"/>
      <x:c r="F37" s="56" t="str">
        <x:f>IF(E37="","",TODAY()-E37+1)</x:f>
      </x:c>
      <x:c r="G37" s="56" t="str"/>
      <x:c r="H37" s="60" t="str">
        <x:f>IF(OR(E37="",G37=""),"",IF(ISNUMBER(G37),E37+G37,"Revisar indicação"))</x:f>
      </x:c>
      <x:c r="I37" s="56" t="str"/>
      <x:c r="J37" s="56" t="str"/>
      <x:c r="K37" s="56" t="str">
        <x:f>IF(A37="","",IF(I37="Não","Sim",IF(J37="Sim","Sim",IF(AND(ISNUMBER(G37),F37&gt;G37),"Revisar","Não"))))</x:f>
      </x:c>
      <x:c r="L37" s="56" t="str"/>
      <x:c r="M37" s="56" t="str"/>
    </x:row>
    <x:row r="38">
      <x:c r="A38" s="56" t="str"/>
      <x:c r="B38" s="56" t="str"/>
      <x:c r="C38" s="56" t="str"/>
      <x:c r="D38" s="56" t="str"/>
      <x:c r="E38" s="60" t="str"/>
      <x:c r="F38" s="56" t="str">
        <x:f>IF(E38="","",TODAY()-E38+1)</x:f>
      </x:c>
      <x:c r="G38" s="56" t="str"/>
      <x:c r="H38" s="60" t="str">
        <x:f>IF(OR(E38="",G38=""),"",IF(ISNUMBER(G38),E38+G38,"Revisar indicação"))</x:f>
      </x:c>
      <x:c r="I38" s="56" t="str"/>
      <x:c r="J38" s="56" t="str"/>
      <x:c r="K38" s="56" t="str">
        <x:f>IF(A38="","",IF(I38="Não","Sim",IF(J38="Sim","Sim",IF(AND(ISNUMBER(G38),F38&gt;G38),"Revisar","Não"))))</x:f>
      </x:c>
      <x:c r="L38" s="56" t="str"/>
      <x:c r="M38" s="56" t="str"/>
    </x:row>
    <x:row r="39">
      <x:c r="A39" s="56" t="str"/>
      <x:c r="B39" s="56" t="str"/>
      <x:c r="C39" s="56" t="str"/>
      <x:c r="D39" s="56" t="str"/>
      <x:c r="E39" s="60" t="str"/>
      <x:c r="F39" s="56" t="str">
        <x:f>IF(E39="","",TODAY()-E39+1)</x:f>
      </x:c>
      <x:c r="G39" s="56" t="str"/>
      <x:c r="H39" s="60" t="str">
        <x:f>IF(OR(E39="",G39=""),"",IF(ISNUMBER(G39),E39+G39,"Revisar indicação"))</x:f>
      </x:c>
      <x:c r="I39" s="56" t="str"/>
      <x:c r="J39" s="56" t="str"/>
      <x:c r="K39" s="56" t="str">
        <x:f>IF(A39="","",IF(I39="Não","Sim",IF(J39="Sim","Sim",IF(AND(ISNUMBER(G39),F39&gt;G39),"Revisar","Não"))))</x:f>
      </x:c>
      <x:c r="L39" s="56" t="str"/>
      <x:c r="M39" s="56" t="str"/>
    </x:row>
    <x:row r="40">
      <x:c r="A40" s="56" t="str"/>
      <x:c r="B40" s="56" t="str"/>
      <x:c r="C40" s="56" t="str"/>
      <x:c r="D40" s="56" t="str"/>
      <x:c r="E40" s="60" t="str"/>
      <x:c r="F40" s="56" t="str">
        <x:f>IF(E40="","",TODAY()-E40+1)</x:f>
      </x:c>
      <x:c r="G40" s="56" t="str"/>
      <x:c r="H40" s="60" t="str">
        <x:f>IF(OR(E40="",G40=""),"",IF(ISNUMBER(G40),E40+G40,"Revisar indicação"))</x:f>
      </x:c>
      <x:c r="I40" s="56" t="str"/>
      <x:c r="J40" s="56" t="str"/>
      <x:c r="K40" s="56" t="str">
        <x:f>IF(A40="","",IF(I40="Não","Sim",IF(J40="Sim","Sim",IF(AND(ISNUMBER(G40),F40&gt;G40),"Revisar","Não"))))</x:f>
      </x:c>
      <x:c r="L40" s="56" t="str"/>
      <x:c r="M40" s="56" t="str"/>
    </x:row>
    <x:row r="41">
      <x:c r="A41" s="56" t="str"/>
      <x:c r="B41" s="56" t="str"/>
      <x:c r="C41" s="56" t="str"/>
      <x:c r="D41" s="56" t="str"/>
      <x:c r="E41" s="60" t="str"/>
      <x:c r="F41" s="56" t="str">
        <x:f>IF(E41="","",TODAY()-E41+1)</x:f>
      </x:c>
      <x:c r="G41" s="56" t="str"/>
      <x:c r="H41" s="60" t="str">
        <x:f>IF(OR(E41="",G41=""),"",IF(ISNUMBER(G41),E41+G41,"Revisar indicação"))</x:f>
      </x:c>
      <x:c r="I41" s="56" t="str"/>
      <x:c r="J41" s="56" t="str"/>
      <x:c r="K41" s="56" t="str">
        <x:f>IF(A41="","",IF(I41="Não","Sim",IF(J41="Sim","Sim",IF(AND(ISNUMBER(G41),F41&gt;G41),"Revisar","Não"))))</x:f>
      </x:c>
      <x:c r="L41" s="56" t="str"/>
      <x:c r="M41" s="56" t="str"/>
    </x:row>
    <x:row r="42">
      <x:c r="A42" s="56" t="str"/>
      <x:c r="B42" s="56" t="str"/>
      <x:c r="C42" s="56" t="str"/>
      <x:c r="D42" s="56" t="str"/>
      <x:c r="E42" s="60" t="str"/>
      <x:c r="F42" s="56" t="str">
        <x:f>IF(E42="","",TODAY()-E42+1)</x:f>
      </x:c>
      <x:c r="G42" s="56" t="str"/>
      <x:c r="H42" s="60" t="str">
        <x:f>IF(OR(E42="",G42=""),"",IF(ISNUMBER(G42),E42+G42,"Revisar indicação"))</x:f>
      </x:c>
      <x:c r="I42" s="56" t="str"/>
      <x:c r="J42" s="56" t="str"/>
      <x:c r="K42" s="56" t="str">
        <x:f>IF(A42="","",IF(I42="Não","Sim",IF(J42="Sim","Sim",IF(AND(ISNUMBER(G42),F42&gt;G42),"Revisar","Não"))))</x:f>
      </x:c>
      <x:c r="L42" s="56" t="str"/>
      <x:c r="M42" s="56" t="str"/>
    </x:row>
    <x:row r="43">
      <x:c r="A43" s="56" t="str"/>
      <x:c r="B43" s="56" t="str"/>
      <x:c r="C43" s="56" t="str"/>
      <x:c r="D43" s="56" t="str"/>
      <x:c r="E43" s="60" t="str"/>
      <x:c r="F43" s="56" t="str">
        <x:f>IF(E43="","",TODAY()-E43+1)</x:f>
      </x:c>
      <x:c r="G43" s="56" t="str"/>
      <x:c r="H43" s="60" t="str">
        <x:f>IF(OR(E43="",G43=""),"",IF(ISNUMBER(G43),E43+G43,"Revisar indicação"))</x:f>
      </x:c>
      <x:c r="I43" s="56" t="str"/>
      <x:c r="J43" s="56" t="str"/>
      <x:c r="K43" s="56" t="str">
        <x:f>IF(A43="","",IF(I43="Não","Sim",IF(J43="Sim","Sim",IF(AND(ISNUMBER(G43),F43&gt;G43),"Revisar","Não"))))</x:f>
      </x:c>
      <x:c r="L43" s="56" t="str"/>
      <x:c r="M43" s="56" t="str"/>
    </x:row>
    <x:row r="44">
      <x:c r="A44" s="56" t="str"/>
      <x:c r="B44" s="56" t="str"/>
      <x:c r="C44" s="56" t="str"/>
      <x:c r="D44" s="56" t="str"/>
      <x:c r="E44" s="60" t="str"/>
      <x:c r="F44" s="56" t="str">
        <x:f>IF(E44="","",TODAY()-E44+1)</x:f>
      </x:c>
      <x:c r="G44" s="56" t="str"/>
      <x:c r="H44" s="60" t="str">
        <x:f>IF(OR(E44="",G44=""),"",IF(ISNUMBER(G44),E44+G44,"Revisar indicação"))</x:f>
      </x:c>
      <x:c r="I44" s="56" t="str"/>
      <x:c r="J44" s="56" t="str"/>
      <x:c r="K44" s="56" t="str">
        <x:f>IF(A44="","",IF(I44="Não","Sim",IF(J44="Sim","Sim",IF(AND(ISNUMBER(G44),F44&gt;G44),"Revisar","Não"))))</x:f>
      </x:c>
      <x:c r="L44" s="56" t="str"/>
      <x:c r="M44" s="56" t="str"/>
    </x:row>
    <x:row r="45">
      <x:c r="A45" s="56" t="str"/>
      <x:c r="B45" s="56" t="str"/>
      <x:c r="C45" s="56" t="str"/>
      <x:c r="D45" s="56" t="str"/>
      <x:c r="E45" s="60" t="str"/>
      <x:c r="F45" s="56" t="str">
        <x:f>IF(E45="","",TODAY()-E45+1)</x:f>
      </x:c>
      <x:c r="G45" s="56" t="str"/>
      <x:c r="H45" s="60" t="str">
        <x:f>IF(OR(E45="",G45=""),"",IF(ISNUMBER(G45),E45+G45,"Revisar indicação"))</x:f>
      </x:c>
      <x:c r="I45" s="56" t="str"/>
      <x:c r="J45" s="56" t="str"/>
      <x:c r="K45" s="56" t="str">
        <x:f>IF(A45="","",IF(I45="Não","Sim",IF(J45="Sim","Sim",IF(AND(ISNUMBER(G45),F45&gt;G45),"Revisar","Não"))))</x:f>
      </x:c>
      <x:c r="L45" s="56" t="str"/>
      <x:c r="M45" s="56" t="str"/>
    </x:row>
    <x:row r="46">
      <x:c r="A46" s="56" t="str"/>
      <x:c r="B46" s="56" t="str"/>
      <x:c r="C46" s="56" t="str"/>
      <x:c r="D46" s="56" t="str"/>
      <x:c r="E46" s="60" t="str"/>
      <x:c r="F46" s="56" t="str">
        <x:f>IF(E46="","",TODAY()-E46+1)</x:f>
      </x:c>
      <x:c r="G46" s="56" t="str"/>
      <x:c r="H46" s="60" t="str">
        <x:f>IF(OR(E46="",G46=""),"",IF(ISNUMBER(G46),E46+G46,"Revisar indicação"))</x:f>
      </x:c>
      <x:c r="I46" s="56" t="str"/>
      <x:c r="J46" s="56" t="str"/>
      <x:c r="K46" s="56" t="str">
        <x:f>IF(A46="","",IF(I46="Não","Sim",IF(J46="Sim","Sim",IF(AND(ISNUMBER(G46),F46&gt;G46),"Revisar","Não"))))</x:f>
      </x:c>
      <x:c r="L46" s="56" t="str"/>
      <x:c r="M46" s="56" t="str"/>
    </x:row>
    <x:row r="47">
      <x:c r="A47" s="56" t="str"/>
      <x:c r="B47" s="56" t="str"/>
      <x:c r="C47" s="56" t="str"/>
      <x:c r="D47" s="56" t="str"/>
      <x:c r="E47" s="60" t="str"/>
      <x:c r="F47" s="56" t="str">
        <x:f>IF(E47="","",TODAY()-E47+1)</x:f>
      </x:c>
      <x:c r="G47" s="56" t="str"/>
      <x:c r="H47" s="60" t="str">
        <x:f>IF(OR(E47="",G47=""),"",IF(ISNUMBER(G47),E47+G47,"Revisar indicação"))</x:f>
      </x:c>
      <x:c r="I47" s="56" t="str"/>
      <x:c r="J47" s="56" t="str"/>
      <x:c r="K47" s="56" t="str">
        <x:f>IF(A47="","",IF(I47="Não","Sim",IF(J47="Sim","Sim",IF(AND(ISNUMBER(G47),F47&gt;G47),"Revisar","Não"))))</x:f>
      </x:c>
      <x:c r="L47" s="56" t="str"/>
      <x:c r="M47" s="56" t="str"/>
    </x:row>
    <x:row r="48">
      <x:c r="A48" s="56" t="str"/>
      <x:c r="B48" s="56" t="str"/>
      <x:c r="C48" s="56" t="str"/>
      <x:c r="D48" s="56" t="str"/>
      <x:c r="E48" s="60" t="str"/>
      <x:c r="F48" s="56" t="str">
        <x:f>IF(E48="","",TODAY()-E48+1)</x:f>
      </x:c>
      <x:c r="G48" s="56" t="str"/>
      <x:c r="H48" s="60" t="str">
        <x:f>IF(OR(E48="",G48=""),"",IF(ISNUMBER(G48),E48+G48,"Revisar indicação"))</x:f>
      </x:c>
      <x:c r="I48" s="56" t="str"/>
      <x:c r="J48" s="56" t="str"/>
      <x:c r="K48" s="56" t="str">
        <x:f>IF(A48="","",IF(I48="Não","Sim",IF(J48="Sim","Sim",IF(AND(ISNUMBER(G48),F48&gt;G48),"Revisar","Não"))))</x:f>
      </x:c>
      <x:c r="L48" s="56" t="str"/>
      <x:c r="M48" s="56" t="str"/>
    </x:row>
    <x:row r="49">
      <x:c r="A49" s="56" t="str"/>
      <x:c r="B49" s="56" t="str"/>
      <x:c r="C49" s="56" t="str"/>
      <x:c r="D49" s="56" t="str"/>
      <x:c r="E49" s="60" t="str"/>
      <x:c r="F49" s="56" t="str">
        <x:f>IF(E49="","",TODAY()-E49+1)</x:f>
      </x:c>
      <x:c r="G49" s="56" t="str"/>
      <x:c r="H49" s="60" t="str">
        <x:f>IF(OR(E49="",G49=""),"",IF(ISNUMBER(G49),E49+G49,"Revisar indicação"))</x:f>
      </x:c>
      <x:c r="I49" s="56" t="str"/>
      <x:c r="J49" s="56" t="str"/>
      <x:c r="K49" s="56" t="str">
        <x:f>IF(A49="","",IF(I49="Não","Sim",IF(J49="Sim","Sim",IF(AND(ISNUMBER(G49),F49&gt;G49),"Revisar","Não"))))</x:f>
      </x:c>
      <x:c r="L49" s="56" t="str"/>
      <x:c r="M49" s="56" t="str"/>
    </x:row>
    <x:row r="50">
      <x:c r="A50" s="56" t="str"/>
      <x:c r="B50" s="56" t="str"/>
      <x:c r="C50" s="56" t="str"/>
      <x:c r="D50" s="56" t="str"/>
      <x:c r="E50" s="60" t="str"/>
      <x:c r="F50" s="56" t="str">
        <x:f>IF(E50="","",TODAY()-E50+1)</x:f>
      </x:c>
      <x:c r="G50" s="56" t="str"/>
      <x:c r="H50" s="60" t="str">
        <x:f>IF(OR(E50="",G50=""),"",IF(ISNUMBER(G50),E50+G50,"Revisar indicação"))</x:f>
      </x:c>
      <x:c r="I50" s="56" t="str"/>
      <x:c r="J50" s="56" t="str"/>
      <x:c r="K50" s="56" t="str">
        <x:f>IF(A50="","",IF(I50="Não","Sim",IF(J50="Sim","Sim",IF(AND(ISNUMBER(G50),F50&gt;G50),"Revisar","Não"))))</x:f>
      </x:c>
      <x:c r="L50" s="56" t="str"/>
      <x:c r="M50" s="56" t="str"/>
    </x:row>
    <x:row r="51">
      <x:c r="A51" s="56" t="str"/>
      <x:c r="B51" s="56" t="str"/>
      <x:c r="C51" s="56" t="str"/>
      <x:c r="D51" s="56" t="str"/>
      <x:c r="E51" s="60" t="str"/>
      <x:c r="F51" s="56" t="str">
        <x:f>IF(E51="","",TODAY()-E51+1)</x:f>
      </x:c>
      <x:c r="G51" s="56" t="str"/>
      <x:c r="H51" s="60" t="str">
        <x:f>IF(OR(E51="",G51=""),"",IF(ISNUMBER(G51),E51+G51,"Revisar indicação"))</x:f>
      </x:c>
      <x:c r="I51" s="56" t="str"/>
      <x:c r="J51" s="56" t="str"/>
      <x:c r="K51" s="56" t="str">
        <x:f>IF(A51="","",IF(I51="Não","Sim",IF(J51="Sim","Sim",IF(AND(ISNUMBER(G51),F51&gt;G51),"Revisar","Não"))))</x:f>
      </x:c>
      <x:c r="L51" s="56" t="str"/>
      <x:c r="M51" s="56" t="str"/>
    </x:row>
    <x:row r="52">
      <x:c r="A52" s="56" t="str"/>
      <x:c r="B52" s="56" t="str"/>
      <x:c r="C52" s="56" t="str"/>
      <x:c r="D52" s="56" t="str"/>
      <x:c r="E52" s="60" t="str"/>
      <x:c r="F52" s="56" t="str">
        <x:f>IF(E52="","",TODAY()-E52+1)</x:f>
      </x:c>
      <x:c r="G52" s="56" t="str"/>
      <x:c r="H52" s="60" t="str">
        <x:f>IF(OR(E52="",G52=""),"",IF(ISNUMBER(G52),E52+G52,"Revisar indicação"))</x:f>
      </x:c>
      <x:c r="I52" s="56" t="str"/>
      <x:c r="J52" s="56" t="str"/>
      <x:c r="K52" s="56" t="str">
        <x:f>IF(A52="","",IF(I52="Não","Sim",IF(J52="Sim","Sim",IF(AND(ISNUMBER(G52),F52&gt;G52),"Revisar","Não"))))</x:f>
      </x:c>
      <x:c r="L52" s="56" t="str"/>
      <x:c r="M52" s="56" t="str"/>
    </x:row>
    <x:row r="53">
      <x:c r="A53" s="56" t="str"/>
      <x:c r="B53" s="56" t="str"/>
      <x:c r="C53" s="56" t="str"/>
      <x:c r="D53" s="56" t="str"/>
      <x:c r="E53" s="60" t="str"/>
      <x:c r="F53" s="56" t="str">
        <x:f>IF(E53="","",TODAY()-E53+1)</x:f>
      </x:c>
      <x:c r="G53" s="56" t="str"/>
      <x:c r="H53" s="60" t="str">
        <x:f>IF(OR(E53="",G53=""),"",IF(ISNUMBER(G53),E53+G53,"Revisar indicação"))</x:f>
      </x:c>
      <x:c r="I53" s="56" t="str"/>
      <x:c r="J53" s="56" t="str"/>
      <x:c r="K53" s="56" t="str">
        <x:f>IF(A53="","",IF(I53="Não","Sim",IF(J53="Sim","Sim",IF(AND(ISNUMBER(G53),F53&gt;G53),"Revisar","Não"))))</x:f>
      </x:c>
      <x:c r="L53" s="56" t="str"/>
      <x:c r="M53" s="56" t="str"/>
    </x:row>
    <x:row r="54">
      <x:c r="A54" s="56" t="str"/>
      <x:c r="B54" s="56" t="str"/>
      <x:c r="C54" s="56" t="str"/>
      <x:c r="D54" s="56" t="str"/>
      <x:c r="E54" s="60" t="str"/>
      <x:c r="F54" s="56" t="str">
        <x:f>IF(E54="","",TODAY()-E54+1)</x:f>
      </x:c>
      <x:c r="G54" s="56" t="str"/>
      <x:c r="H54" s="60" t="str">
        <x:f>IF(OR(E54="",G54=""),"",IF(ISNUMBER(G54),E54+G54,"Revisar indicação"))</x:f>
      </x:c>
      <x:c r="I54" s="56" t="str"/>
      <x:c r="J54" s="56" t="str"/>
      <x:c r="K54" s="56" t="str">
        <x:f>IF(A54="","",IF(I54="Não","Sim",IF(J54="Sim","Sim",IF(AND(ISNUMBER(G54),F54&gt;G54),"Revisar","Não"))))</x:f>
      </x:c>
      <x:c r="L54" s="56" t="str"/>
      <x:c r="M54" s="56" t="str"/>
    </x:row>
    <x:row r="55">
      <x:c r="A55" s="56" t="str"/>
      <x:c r="B55" s="56" t="str"/>
      <x:c r="C55" s="56" t="str"/>
      <x:c r="D55" s="56" t="str"/>
      <x:c r="E55" s="60" t="str"/>
      <x:c r="F55" s="56" t="str">
        <x:f>IF(E55="","",TODAY()-E55+1)</x:f>
      </x:c>
      <x:c r="G55" s="56" t="str"/>
      <x:c r="H55" s="60" t="str">
        <x:f>IF(OR(E55="",G55=""),"",IF(ISNUMBER(G55),E55+G55,"Revisar indicação"))</x:f>
      </x:c>
      <x:c r="I55" s="56" t="str"/>
      <x:c r="J55" s="56" t="str"/>
      <x:c r="K55" s="56" t="str">
        <x:f>IF(A55="","",IF(I55="Não","Sim",IF(J55="Sim","Sim",IF(AND(ISNUMBER(G55),F55&gt;G55),"Revisar","Não"))))</x:f>
      </x:c>
      <x:c r="L55" s="56" t="str"/>
      <x:c r="M55" s="56" t="str"/>
    </x:row>
    <x:row r="56">
      <x:c r="A56" s="56" t="str"/>
      <x:c r="B56" s="56" t="str"/>
      <x:c r="C56" s="56" t="str"/>
      <x:c r="D56" s="56" t="str"/>
      <x:c r="E56" s="60" t="str"/>
      <x:c r="F56" s="56" t="str">
        <x:f>IF(E56="","",TODAY()-E56+1)</x:f>
      </x:c>
      <x:c r="G56" s="56" t="str"/>
      <x:c r="H56" s="60" t="str">
        <x:f>IF(OR(E56="",G56=""),"",IF(ISNUMBER(G56),E56+G56,"Revisar indicação"))</x:f>
      </x:c>
      <x:c r="I56" s="56" t="str"/>
      <x:c r="J56" s="56" t="str"/>
      <x:c r="K56" s="56" t="str">
        <x:f>IF(A56="","",IF(I56="Não","Sim",IF(J56="Sim","Sim",IF(AND(ISNUMBER(G56),F56&gt;G56),"Revisar","Não"))))</x:f>
      </x:c>
      <x:c r="L56" s="56" t="str"/>
      <x:c r="M56" s="56" t="str"/>
    </x:row>
    <x:row r="57">
      <x:c r="A57" s="56" t="str"/>
      <x:c r="B57" s="56" t="str"/>
      <x:c r="C57" s="56" t="str"/>
      <x:c r="D57" s="56" t="str"/>
      <x:c r="E57" s="60" t="str"/>
      <x:c r="F57" s="56" t="str">
        <x:f>IF(E57="","",TODAY()-E57+1)</x:f>
      </x:c>
      <x:c r="G57" s="56" t="str"/>
      <x:c r="H57" s="60" t="str">
        <x:f>IF(OR(E57="",G57=""),"",IF(ISNUMBER(G57),E57+G57,"Revisar indicação"))</x:f>
      </x:c>
      <x:c r="I57" s="56" t="str"/>
      <x:c r="J57" s="56" t="str"/>
      <x:c r="K57" s="56" t="str">
        <x:f>IF(A57="","",IF(I57="Não","Sim",IF(J57="Sim","Sim",IF(AND(ISNUMBER(G57),F57&gt;G57),"Revisar","Não"))))</x:f>
      </x:c>
      <x:c r="L57" s="56" t="str"/>
      <x:c r="M57" s="56" t="str"/>
    </x:row>
    <x:row r="58">
      <x:c r="A58" s="56" t="str"/>
      <x:c r="B58" s="56" t="str"/>
      <x:c r="C58" s="56" t="str"/>
      <x:c r="D58" s="56" t="str"/>
      <x:c r="E58" s="60" t="str"/>
      <x:c r="F58" s="56" t="str">
        <x:f>IF(E58="","",TODAY()-E58+1)</x:f>
      </x:c>
      <x:c r="G58" s="56" t="str"/>
      <x:c r="H58" s="60" t="str">
        <x:f>IF(OR(E58="",G58=""),"",IF(ISNUMBER(G58),E58+G58,"Revisar indicação"))</x:f>
      </x:c>
      <x:c r="I58" s="56" t="str"/>
      <x:c r="J58" s="56" t="str"/>
      <x:c r="K58" s="56" t="str">
        <x:f>IF(A58="","",IF(I58="Não","Sim",IF(J58="Sim","Sim",IF(AND(ISNUMBER(G58),F58&gt;G58),"Revisar","Não"))))</x:f>
      </x:c>
      <x:c r="L58" s="56" t="str"/>
      <x:c r="M58" s="56" t="str"/>
    </x:row>
    <x:row r="59">
      <x:c r="A59" s="56" t="str"/>
      <x:c r="B59" s="56" t="str"/>
      <x:c r="C59" s="56" t="str"/>
      <x:c r="D59" s="56" t="str"/>
      <x:c r="E59" s="60" t="str"/>
      <x:c r="F59" s="56" t="str">
        <x:f>IF(E59="","",TODAY()-E59+1)</x:f>
      </x:c>
      <x:c r="G59" s="56" t="str"/>
      <x:c r="H59" s="60" t="str">
        <x:f>IF(OR(E59="",G59=""),"",IF(ISNUMBER(G59),E59+G59,"Revisar indicação"))</x:f>
      </x:c>
      <x:c r="I59" s="56" t="str"/>
      <x:c r="J59" s="56" t="str"/>
      <x:c r="K59" s="56" t="str">
        <x:f>IF(A59="","",IF(I59="Não","Sim",IF(J59="Sim","Sim",IF(AND(ISNUMBER(G59),F59&gt;G59),"Revisar","Não"))))</x:f>
      </x:c>
      <x:c r="L59" s="56" t="str"/>
      <x:c r="M59" s="56" t="str"/>
    </x:row>
    <x:row r="60">
      <x:c r="A60" s="56" t="str"/>
      <x:c r="B60" s="56" t="str"/>
      <x:c r="C60" s="56" t="str"/>
      <x:c r="D60" s="56" t="str"/>
      <x:c r="E60" s="60" t="str"/>
      <x:c r="F60" s="56" t="str">
        <x:f>IF(E60="","",TODAY()-E60+1)</x:f>
      </x:c>
      <x:c r="G60" s="56" t="str"/>
      <x:c r="H60" s="60" t="str">
        <x:f>IF(OR(E60="",G60=""),"",IF(ISNUMBER(G60),E60+G60,"Revisar indicação"))</x:f>
      </x:c>
      <x:c r="I60" s="56" t="str"/>
      <x:c r="J60" s="56" t="str"/>
      <x:c r="K60" s="56" t="str">
        <x:f>IF(A60="","",IF(I60="Não","Sim",IF(J60="Sim","Sim",IF(AND(ISNUMBER(G60),F60&gt;G60),"Revisar","Não"))))</x:f>
      </x:c>
      <x:c r="L60" s="56" t="str"/>
      <x:c r="M60" s="56" t="str"/>
    </x:row>
    <x:row r="61">
      <x:c r="A61" s="56" t="str"/>
      <x:c r="B61" s="56" t="str"/>
      <x:c r="C61" s="56" t="str"/>
      <x:c r="D61" s="56" t="str"/>
      <x:c r="E61" s="60" t="str"/>
      <x:c r="F61" s="56" t="str">
        <x:f>IF(E61="","",TODAY()-E61+1)</x:f>
      </x:c>
      <x:c r="G61" s="56" t="str"/>
      <x:c r="H61" s="60" t="str">
        <x:f>IF(OR(E61="",G61=""),"",IF(ISNUMBER(G61),E61+G61,"Revisar indicação"))</x:f>
      </x:c>
      <x:c r="I61" s="56" t="str"/>
      <x:c r="J61" s="56" t="str"/>
      <x:c r="K61" s="56" t="str">
        <x:f>IF(A61="","",IF(I61="Não","Sim",IF(J61="Sim","Sim",IF(AND(ISNUMBER(G61),F61&gt;G61),"Revisar","Não"))))</x:f>
      </x:c>
      <x:c r="L61" s="56" t="str"/>
      <x:c r="M61" s="56" t="str"/>
    </x:row>
    <x:row r="62">
      <x:c r="A62" s="56" t="str"/>
      <x:c r="B62" s="56" t="str"/>
      <x:c r="C62" s="56" t="str"/>
      <x:c r="D62" s="56" t="str"/>
      <x:c r="E62" s="60" t="str"/>
      <x:c r="F62" s="56" t="str">
        <x:f>IF(E62="","",TODAY()-E62+1)</x:f>
      </x:c>
      <x:c r="G62" s="56" t="str"/>
      <x:c r="H62" s="60" t="str">
        <x:f>IF(OR(E62="",G62=""),"",IF(ISNUMBER(G62),E62+G62,"Revisar indicação"))</x:f>
      </x:c>
      <x:c r="I62" s="56" t="str"/>
      <x:c r="J62" s="56" t="str"/>
      <x:c r="K62" s="56" t="str">
        <x:f>IF(A62="","",IF(I62="Não","Sim",IF(J62="Sim","Sim",IF(AND(ISNUMBER(G62),F62&gt;G62),"Revisar","Não"))))</x:f>
      </x:c>
      <x:c r="L62" s="56" t="str"/>
      <x:c r="M62" s="56" t="str"/>
    </x:row>
    <x:row r="63">
      <x:c r="A63" s="56" t="str"/>
      <x:c r="B63" s="56" t="str"/>
      <x:c r="C63" s="56" t="str"/>
      <x:c r="D63" s="56" t="str"/>
      <x:c r="E63" s="60" t="str"/>
      <x:c r="F63" s="56" t="str">
        <x:f>IF(E63="","",TODAY()-E63+1)</x:f>
      </x:c>
      <x:c r="G63" s="56" t="str"/>
      <x:c r="H63" s="60" t="str">
        <x:f>IF(OR(E63="",G63=""),"",IF(ISNUMBER(G63),E63+G63,"Revisar indicação"))</x:f>
      </x:c>
      <x:c r="I63" s="56" t="str"/>
      <x:c r="J63" s="56" t="str"/>
      <x:c r="K63" s="56" t="str">
        <x:f>IF(A63="","",IF(I63="Não","Sim",IF(J63="Sim","Sim",IF(AND(ISNUMBER(G63),F63&gt;G63),"Revisar","Não"))))</x:f>
      </x:c>
      <x:c r="L63" s="56" t="str"/>
      <x:c r="M63" s="56" t="str"/>
    </x:row>
    <x:row r="64">
      <x:c r="A64" s="56" t="str"/>
      <x:c r="B64" s="56" t="str"/>
      <x:c r="C64" s="56" t="str"/>
      <x:c r="D64" s="56" t="str"/>
      <x:c r="E64" s="60" t="str"/>
      <x:c r="F64" s="56" t="str">
        <x:f>IF(E64="","",TODAY()-E64+1)</x:f>
      </x:c>
      <x:c r="G64" s="56" t="str"/>
      <x:c r="H64" s="60" t="str">
        <x:f>IF(OR(E64="",G64=""),"",IF(ISNUMBER(G64),E64+G64,"Revisar indicação"))</x:f>
      </x:c>
      <x:c r="I64" s="56" t="str"/>
      <x:c r="J64" s="56" t="str"/>
      <x:c r="K64" s="56" t="str">
        <x:f>IF(A64="","",IF(I64="Não","Sim",IF(J64="Sim","Sim",IF(AND(ISNUMBER(G64),F64&gt;G64),"Revisar","Não"))))</x:f>
      </x:c>
      <x:c r="L64" s="56" t="str"/>
      <x:c r="M64" s="56" t="str"/>
    </x:row>
    <x:row r="65">
      <x:c r="A65" s="56" t="str"/>
      <x:c r="B65" s="56" t="str"/>
      <x:c r="C65" s="56" t="str"/>
      <x:c r="D65" s="56" t="str"/>
      <x:c r="E65" s="60" t="str"/>
      <x:c r="F65" s="56" t="str">
        <x:f>IF(E65="","",TODAY()-E65+1)</x:f>
      </x:c>
      <x:c r="G65" s="56" t="str"/>
      <x:c r="H65" s="60" t="str">
        <x:f>IF(OR(E65="",G65=""),"",IF(ISNUMBER(G65),E65+G65,"Revisar indicação"))</x:f>
      </x:c>
      <x:c r="I65" s="56" t="str"/>
      <x:c r="J65" s="56" t="str"/>
      <x:c r="K65" s="56" t="str">
        <x:f>IF(A65="","",IF(I65="Não","Sim",IF(J65="Sim","Sim",IF(AND(ISNUMBER(G65),F65&gt;G65),"Revisar","Não"))))</x:f>
      </x:c>
      <x:c r="L65" s="56" t="str"/>
      <x:c r="M65" s="56" t="str"/>
    </x:row>
    <x:row r="66">
      <x:c r="A66" s="56" t="str"/>
      <x:c r="B66" s="56" t="str"/>
      <x:c r="C66" s="56" t="str"/>
      <x:c r="D66" s="56" t="str"/>
      <x:c r="E66" s="60" t="str"/>
      <x:c r="F66" s="56" t="str">
        <x:f>IF(E66="","",TODAY()-E66+1)</x:f>
      </x:c>
      <x:c r="G66" s="56" t="str"/>
      <x:c r="H66" s="60" t="str">
        <x:f>IF(OR(E66="",G66=""),"",IF(ISNUMBER(G66),E66+G66,"Revisar indicação"))</x:f>
      </x:c>
      <x:c r="I66" s="56" t="str"/>
      <x:c r="J66" s="56" t="str"/>
      <x:c r="K66" s="56" t="str">
        <x:f>IF(A66="","",IF(I66="Não","Sim",IF(J66="Sim","Sim",IF(AND(ISNUMBER(G66),F66&gt;G66),"Revisar","Não"))))</x:f>
      </x:c>
      <x:c r="L66" s="56" t="str"/>
      <x:c r="M66" s="56" t="str"/>
    </x:row>
    <x:row r="67">
      <x:c r="A67" s="56" t="str"/>
      <x:c r="B67" s="56" t="str"/>
      <x:c r="C67" s="56" t="str"/>
      <x:c r="D67" s="56" t="str"/>
      <x:c r="E67" s="60" t="str"/>
      <x:c r="F67" s="56" t="str">
        <x:f>IF(E67="","",TODAY()-E67+1)</x:f>
      </x:c>
      <x:c r="G67" s="56" t="str"/>
      <x:c r="H67" s="60" t="str">
        <x:f>IF(OR(E67="",G67=""),"",IF(ISNUMBER(G67),E67+G67,"Revisar indicação"))</x:f>
      </x:c>
      <x:c r="I67" s="56" t="str"/>
      <x:c r="J67" s="56" t="str"/>
      <x:c r="K67" s="56" t="str">
        <x:f>IF(A67="","",IF(I67="Não","Sim",IF(J67="Sim","Sim",IF(AND(ISNUMBER(G67),F67&gt;G67),"Revisar","Não"))))</x:f>
      </x:c>
      <x:c r="L67" s="56" t="str"/>
      <x:c r="M67" s="56" t="str"/>
    </x:row>
    <x:row r="68">
      <x:c r="A68" s="56" t="str"/>
      <x:c r="B68" s="56" t="str"/>
      <x:c r="C68" s="56" t="str"/>
      <x:c r="D68" s="56" t="str"/>
      <x:c r="E68" s="60" t="str"/>
      <x:c r="F68" s="56" t="str">
        <x:f>IF(E68="","",TODAY()-E68+1)</x:f>
      </x:c>
      <x:c r="G68" s="56" t="str"/>
      <x:c r="H68" s="60" t="str">
        <x:f>IF(OR(E68="",G68=""),"",IF(ISNUMBER(G68),E68+G68,"Revisar indicação"))</x:f>
      </x:c>
      <x:c r="I68" s="56" t="str"/>
      <x:c r="J68" s="56" t="str"/>
      <x:c r="K68" s="56" t="str">
        <x:f>IF(A68="","",IF(I68="Não","Sim",IF(J68="Sim","Sim",IF(AND(ISNUMBER(G68),F68&gt;G68),"Revisar","Não"))))</x:f>
      </x:c>
      <x:c r="L68" s="56" t="str"/>
      <x:c r="M68" s="56" t="str"/>
    </x:row>
    <x:row r="69">
      <x:c r="A69" s="56" t="str"/>
      <x:c r="B69" s="56" t="str"/>
      <x:c r="C69" s="56" t="str"/>
      <x:c r="D69" s="56" t="str"/>
      <x:c r="E69" s="60" t="str"/>
      <x:c r="F69" s="56" t="str">
        <x:f>IF(E69="","",TODAY()-E69+1)</x:f>
      </x:c>
      <x:c r="G69" s="56" t="str"/>
      <x:c r="H69" s="60" t="str">
        <x:f>IF(OR(E69="",G69=""),"",IF(ISNUMBER(G69),E69+G69,"Revisar indicação"))</x:f>
      </x:c>
      <x:c r="I69" s="56" t="str"/>
      <x:c r="J69" s="56" t="str"/>
      <x:c r="K69" s="56" t="str">
        <x:f>IF(A69="","",IF(I69="Não","Sim",IF(J69="Sim","Sim",IF(AND(ISNUMBER(G69),F69&gt;G69),"Revisar","Não"))))</x:f>
      </x:c>
      <x:c r="L69" s="56" t="str"/>
      <x:c r="M69" s="56" t="str"/>
    </x:row>
    <x:row r="70">
      <x:c r="A70" s="56" t="str"/>
      <x:c r="B70" s="56" t="str"/>
      <x:c r="C70" s="56" t="str"/>
      <x:c r="D70" s="56" t="str"/>
      <x:c r="E70" s="60" t="str"/>
      <x:c r="F70" s="56" t="str">
        <x:f>IF(E70="","",TODAY()-E70+1)</x:f>
      </x:c>
      <x:c r="G70" s="56" t="str"/>
      <x:c r="H70" s="60" t="str">
        <x:f>IF(OR(E70="",G70=""),"",IF(ISNUMBER(G70),E70+G70,"Revisar indicação"))</x:f>
      </x:c>
      <x:c r="I70" s="56" t="str"/>
      <x:c r="J70" s="56" t="str"/>
      <x:c r="K70" s="56" t="str">
        <x:f>IF(A70="","",IF(I70="Não","Sim",IF(J70="Sim","Sim",IF(AND(ISNUMBER(G70),F70&gt;G70),"Revisar","Não"))))</x:f>
      </x:c>
      <x:c r="L70" s="56" t="str"/>
      <x:c r="M70" s="56" t="str"/>
    </x:row>
    <x:row r="71">
      <x:c r="A71" s="56" t="str"/>
      <x:c r="B71" s="56" t="str"/>
      <x:c r="C71" s="56" t="str"/>
      <x:c r="D71" s="56" t="str"/>
      <x:c r="E71" s="60" t="str"/>
      <x:c r="F71" s="56" t="str">
        <x:f>IF(E71="","",TODAY()-E71+1)</x:f>
      </x:c>
      <x:c r="G71" s="56" t="str"/>
      <x:c r="H71" s="60" t="str">
        <x:f>IF(OR(E71="",G71=""),"",IF(ISNUMBER(G71),E71+G71,"Revisar indicação"))</x:f>
      </x:c>
      <x:c r="I71" s="56" t="str"/>
      <x:c r="J71" s="56" t="str"/>
      <x:c r="K71" s="56" t="str">
        <x:f>IF(A71="","",IF(I71="Não","Sim",IF(J71="Sim","Sim",IF(AND(ISNUMBER(G71),F71&gt;G71),"Revisar","Não"))))</x:f>
      </x:c>
      <x:c r="L71" s="56" t="str"/>
      <x:c r="M71" s="56" t="str"/>
    </x:row>
    <x:row r="72">
      <x:c r="A72" s="56" t="str"/>
      <x:c r="B72" s="56" t="str"/>
      <x:c r="C72" s="56" t="str"/>
      <x:c r="D72" s="56" t="str"/>
      <x:c r="E72" s="60" t="str"/>
      <x:c r="F72" s="56" t="str">
        <x:f>IF(E72="","",TODAY()-E72+1)</x:f>
      </x:c>
      <x:c r="G72" s="56" t="str"/>
      <x:c r="H72" s="60" t="str">
        <x:f>IF(OR(E72="",G72=""),"",IF(ISNUMBER(G72),E72+G72,"Revisar indicação"))</x:f>
      </x:c>
      <x:c r="I72" s="56" t="str"/>
      <x:c r="J72" s="56" t="str"/>
      <x:c r="K72" s="56" t="str">
        <x:f>IF(A72="","",IF(I72="Não","Sim",IF(J72="Sim","Sim",IF(AND(ISNUMBER(G72),F72&gt;G72),"Revisar","Não"))))</x:f>
      </x:c>
      <x:c r="L72" s="56" t="str"/>
      <x:c r="M72" s="56" t="str"/>
    </x:row>
    <x:row r="73">
      <x:c r="A73" s="56" t="str"/>
      <x:c r="B73" s="56" t="str"/>
      <x:c r="C73" s="56" t="str"/>
      <x:c r="D73" s="56" t="str"/>
      <x:c r="E73" s="60" t="str"/>
      <x:c r="F73" s="56" t="str">
        <x:f>IF(E73="","",TODAY()-E73+1)</x:f>
      </x:c>
      <x:c r="G73" s="56" t="str"/>
      <x:c r="H73" s="60" t="str">
        <x:f>IF(OR(E73="",G73=""),"",IF(ISNUMBER(G73),E73+G73,"Revisar indicação"))</x:f>
      </x:c>
      <x:c r="I73" s="56" t="str"/>
      <x:c r="J73" s="56" t="str"/>
      <x:c r="K73" s="56" t="str">
        <x:f>IF(A73="","",IF(I73="Não","Sim",IF(J73="Sim","Sim",IF(AND(ISNUMBER(G73),F73&gt;G73),"Revisar","Não"))))</x:f>
      </x:c>
      <x:c r="L73" s="56" t="str"/>
      <x:c r="M73" s="56" t="str"/>
    </x:row>
    <x:row r="74">
      <x:c r="A74" s="56" t="str"/>
      <x:c r="B74" s="56" t="str"/>
      <x:c r="C74" s="56" t="str"/>
      <x:c r="D74" s="56" t="str"/>
      <x:c r="E74" s="60" t="str"/>
      <x:c r="F74" s="56" t="str">
        <x:f>IF(E74="","",TODAY()-E74+1)</x:f>
      </x:c>
      <x:c r="G74" s="56" t="str"/>
      <x:c r="H74" s="60" t="str">
        <x:f>IF(OR(E74="",G74=""),"",IF(ISNUMBER(G74),E74+G74,"Revisar indicação"))</x:f>
      </x:c>
      <x:c r="I74" s="56" t="str"/>
      <x:c r="J74" s="56" t="str"/>
      <x:c r="K74" s="56" t="str">
        <x:f>IF(A74="","",IF(I74="Não","Sim",IF(J74="Sim","Sim",IF(AND(ISNUMBER(G74),F74&gt;G74),"Revisar","Não"))))</x:f>
      </x:c>
      <x:c r="L74" s="56" t="str"/>
      <x:c r="M74" s="56" t="str"/>
    </x:row>
    <x:row r="75">
      <x:c r="A75" s="56" t="str"/>
      <x:c r="B75" s="56" t="str"/>
      <x:c r="C75" s="56" t="str"/>
      <x:c r="D75" s="56" t="str"/>
      <x:c r="E75" s="60" t="str"/>
      <x:c r="F75" s="56" t="str">
        <x:f>IF(E75="","",TODAY()-E75+1)</x:f>
      </x:c>
      <x:c r="G75" s="56" t="str"/>
      <x:c r="H75" s="60" t="str">
        <x:f>IF(OR(E75="",G75=""),"",IF(ISNUMBER(G75),E75+G75,"Revisar indicação"))</x:f>
      </x:c>
      <x:c r="I75" s="56" t="str"/>
      <x:c r="J75" s="56" t="str"/>
      <x:c r="K75" s="56" t="str">
        <x:f>IF(A75="","",IF(I75="Não","Sim",IF(J75="Sim","Sim",IF(AND(ISNUMBER(G75),F75&gt;G75),"Revisar","Não"))))</x:f>
      </x:c>
      <x:c r="L75" s="56" t="str"/>
      <x:c r="M75" s="56" t="str"/>
    </x:row>
    <x:row r="76">
      <x:c r="A76" s="56" t="str"/>
      <x:c r="B76" s="56" t="str"/>
      <x:c r="C76" s="56" t="str"/>
      <x:c r="D76" s="56" t="str"/>
      <x:c r="E76" s="60" t="str"/>
      <x:c r="F76" s="56" t="str">
        <x:f>IF(E76="","",TODAY()-E76+1)</x:f>
      </x:c>
      <x:c r="G76" s="56" t="str"/>
      <x:c r="H76" s="60" t="str">
        <x:f>IF(OR(E76="",G76=""),"",IF(ISNUMBER(G76),E76+G76,"Revisar indicação"))</x:f>
      </x:c>
      <x:c r="I76" s="56" t="str"/>
      <x:c r="J76" s="56" t="str"/>
      <x:c r="K76" s="56" t="str">
        <x:f>IF(A76="","",IF(I76="Não","Sim",IF(J76="Sim","Sim",IF(AND(ISNUMBER(G76),F76&gt;G76),"Revisar","Não"))))</x:f>
      </x:c>
      <x:c r="L76" s="56" t="str"/>
      <x:c r="M76" s="56" t="str"/>
    </x:row>
    <x:row r="77">
      <x:c r="A77" s="56" t="str"/>
      <x:c r="B77" s="56" t="str"/>
      <x:c r="C77" s="56" t="str"/>
      <x:c r="D77" s="56" t="str"/>
      <x:c r="E77" s="60" t="str"/>
      <x:c r="F77" s="56" t="str">
        <x:f>IF(E77="","",TODAY()-E77+1)</x:f>
      </x:c>
      <x:c r="G77" s="56" t="str"/>
      <x:c r="H77" s="60" t="str">
        <x:f>IF(OR(E77="",G77=""),"",IF(ISNUMBER(G77),E77+G77,"Revisar indicação"))</x:f>
      </x:c>
      <x:c r="I77" s="56" t="str"/>
      <x:c r="J77" s="56" t="str"/>
      <x:c r="K77" s="56" t="str">
        <x:f>IF(A77="","",IF(I77="Não","Sim",IF(J77="Sim","Sim",IF(AND(ISNUMBER(G77),F77&gt;G77),"Revisar","Não"))))</x:f>
      </x:c>
      <x:c r="L77" s="56" t="str"/>
      <x:c r="M77" s="56" t="str"/>
    </x:row>
    <x:row r="78">
      <x:c r="A78" s="56" t="str"/>
      <x:c r="B78" s="56" t="str"/>
      <x:c r="C78" s="56" t="str"/>
      <x:c r="D78" s="56" t="str"/>
      <x:c r="E78" s="60" t="str"/>
      <x:c r="F78" s="56" t="str">
        <x:f>IF(E78="","",TODAY()-E78+1)</x:f>
      </x:c>
      <x:c r="G78" s="56" t="str"/>
      <x:c r="H78" s="60" t="str">
        <x:f>IF(OR(E78="",G78=""),"",IF(ISNUMBER(G78),E78+G78,"Revisar indicação"))</x:f>
      </x:c>
      <x:c r="I78" s="56" t="str"/>
      <x:c r="J78" s="56" t="str"/>
      <x:c r="K78" s="56" t="str">
        <x:f>IF(A78="","",IF(I78="Não","Sim",IF(J78="Sim","Sim",IF(AND(ISNUMBER(G78),F78&gt;G78),"Revisar","Não"))))</x:f>
      </x:c>
      <x:c r="L78" s="56" t="str"/>
      <x:c r="M78" s="56" t="str"/>
    </x:row>
    <x:row r="79">
      <x:c r="A79" s="56" t="str"/>
      <x:c r="B79" s="56" t="str"/>
      <x:c r="C79" s="56" t="str"/>
      <x:c r="D79" s="56" t="str"/>
      <x:c r="E79" s="60" t="str"/>
      <x:c r="F79" s="56" t="str">
        <x:f>IF(E79="","",TODAY()-E79+1)</x:f>
      </x:c>
      <x:c r="G79" s="56" t="str"/>
      <x:c r="H79" s="60" t="str">
        <x:f>IF(OR(E79="",G79=""),"",IF(ISNUMBER(G79),E79+G79,"Revisar indicação"))</x:f>
      </x:c>
      <x:c r="I79" s="56" t="str"/>
      <x:c r="J79" s="56" t="str"/>
      <x:c r="K79" s="56" t="str">
        <x:f>IF(A79="","",IF(I79="Não","Sim",IF(J79="Sim","Sim",IF(AND(ISNUMBER(G79),F79&gt;G79),"Revisar","Não"))))</x:f>
      </x:c>
      <x:c r="L79" s="56" t="str"/>
      <x:c r="M79" s="56" t="str"/>
    </x:row>
    <x:row r="80">
      <x:c r="A80" s="56" t="str"/>
      <x:c r="B80" s="56" t="str"/>
      <x:c r="C80" s="56" t="str"/>
      <x:c r="D80" s="56" t="str"/>
      <x:c r="E80" s="60" t="str"/>
      <x:c r="F80" s="56" t="str">
        <x:f>IF(E80="","",TODAY()-E80+1)</x:f>
      </x:c>
      <x:c r="G80" s="56" t="str"/>
      <x:c r="H80" s="60" t="str">
        <x:f>IF(OR(E80="",G80=""),"",IF(ISNUMBER(G80),E80+G80,"Revisar indicação"))</x:f>
      </x:c>
      <x:c r="I80" s="56" t="str"/>
      <x:c r="J80" s="56" t="str"/>
      <x:c r="K80" s="56" t="str">
        <x:f>IF(A80="","",IF(I80="Não","Sim",IF(J80="Sim","Sim",IF(AND(ISNUMBER(G80),F80&gt;G80),"Revisar","Não"))))</x:f>
      </x:c>
      <x:c r="L80" s="56" t="str"/>
      <x:c r="M80" s="56" t="str"/>
    </x:row>
    <x:row r="81">
      <x:c r="A81" s="56" t="str"/>
      <x:c r="B81" s="56" t="str"/>
      <x:c r="C81" s="56" t="str"/>
      <x:c r="D81" s="56" t="str"/>
      <x:c r="E81" s="60" t="str"/>
      <x:c r="F81" s="56" t="str">
        <x:f>IF(E81="","",TODAY()-E81+1)</x:f>
      </x:c>
      <x:c r="G81" s="56" t="str"/>
      <x:c r="H81" s="60" t="str">
        <x:f>IF(OR(E81="",G81=""),"",IF(ISNUMBER(G81),E81+G81,"Revisar indicação"))</x:f>
      </x:c>
      <x:c r="I81" s="56" t="str"/>
      <x:c r="J81" s="56" t="str"/>
      <x:c r="K81" s="56" t="str">
        <x:f>IF(A81="","",IF(I81="Não","Sim",IF(J81="Sim","Sim",IF(AND(ISNUMBER(G81),F81&gt;G81),"Revisar","Não"))))</x:f>
      </x:c>
      <x:c r="L81" s="56" t="str"/>
      <x:c r="M81" s="56" t="str"/>
    </x:row>
    <x:row r="82">
      <x:c r="A82" s="56" t="str"/>
      <x:c r="B82" s="56" t="str"/>
      <x:c r="C82" s="56" t="str"/>
      <x:c r="D82" s="56" t="str"/>
      <x:c r="E82" s="60" t="str"/>
      <x:c r="F82" s="56" t="str">
        <x:f>IF(E82="","",TODAY()-E82+1)</x:f>
      </x:c>
      <x:c r="G82" s="56" t="str"/>
      <x:c r="H82" s="60" t="str">
        <x:f>IF(OR(E82="",G82=""),"",IF(ISNUMBER(G82),E82+G82,"Revisar indicação"))</x:f>
      </x:c>
      <x:c r="I82" s="56" t="str"/>
      <x:c r="J82" s="56" t="str"/>
      <x:c r="K82" s="56" t="str">
        <x:f>IF(A82="","",IF(I82="Não","Sim",IF(J82="Sim","Sim",IF(AND(ISNUMBER(G82),F82&gt;G82),"Revisar","Não"))))</x:f>
      </x:c>
      <x:c r="L82" s="56" t="str"/>
      <x:c r="M82" s="56" t="str"/>
    </x:row>
    <x:row r="83">
      <x:c r="A83" s="56" t="str"/>
      <x:c r="B83" s="56" t="str"/>
      <x:c r="C83" s="56" t="str"/>
      <x:c r="D83" s="56" t="str"/>
      <x:c r="E83" s="60" t="str"/>
      <x:c r="F83" s="56" t="str">
        <x:f>IF(E83="","",TODAY()-E83+1)</x:f>
      </x:c>
      <x:c r="G83" s="56" t="str"/>
      <x:c r="H83" s="60" t="str">
        <x:f>IF(OR(E83="",G83=""),"",IF(ISNUMBER(G83),E83+G83,"Revisar indicação"))</x:f>
      </x:c>
      <x:c r="I83" s="56" t="str"/>
      <x:c r="J83" s="56" t="str"/>
      <x:c r="K83" s="56" t="str">
        <x:f>IF(A83="","",IF(I83="Não","Sim",IF(J83="Sim","Sim",IF(AND(ISNUMBER(G83),F83&gt;G83),"Revisar","Não"))))</x:f>
      </x:c>
      <x:c r="L83" s="56" t="str"/>
      <x:c r="M83" s="56" t="str"/>
    </x:row>
    <x:row r="84">
      <x:c r="A84" s="56" t="str"/>
      <x:c r="B84" s="56" t="str"/>
      <x:c r="C84" s="56" t="str"/>
      <x:c r="D84" s="56" t="str"/>
      <x:c r="E84" s="60" t="str"/>
      <x:c r="F84" s="56" t="str">
        <x:f>IF(E84="","",TODAY()-E84+1)</x:f>
      </x:c>
      <x:c r="G84" s="56" t="str"/>
      <x:c r="H84" s="60" t="str">
        <x:f>IF(OR(E84="",G84=""),"",IF(ISNUMBER(G84),E84+G84,"Revisar indicação"))</x:f>
      </x:c>
      <x:c r="I84" s="56" t="str"/>
      <x:c r="J84" s="56" t="str"/>
      <x:c r="K84" s="56" t="str">
        <x:f>IF(A84="","",IF(I84="Não","Sim",IF(J84="Sim","Sim",IF(AND(ISNUMBER(G84),F84&gt;G84),"Revisar","Não"))))</x:f>
      </x:c>
      <x:c r="L84" s="56" t="str"/>
      <x:c r="M84" s="56" t="str"/>
    </x:row>
  </x:sheetData>
  <x:mergeCells>
    <x:mergeCell ref="A1:P1"/>
    <x:mergeCell ref="A2:P2"/>
  </x:mergeCells>
  <x:conditionalFormatting sqref="K5:K84">
    <x:cfRule type="expression" dxfId="10" priority="1">
      <x:formula>$K5="Sim"</x:formula>
    </x:cfRule>
    <x:cfRule type="expression" dxfId="11" priority="2">
      <x:formula>$K5="Revisar"</x:formula>
    </x:cfRule>
  </x:conditionalFormatting>
  <x:conditionalFormatting sqref="F5:F84">
    <x:cfRule type="dataBar" priority="3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{71FAAAA0-D0BA-0F23-584E-993F4B862CDC}</x14:id>
        </x:ext>
      </x:extLst>
    </x:cfRule>
  </x:conditionalFormatting>
  <x:dataValidations count="3">
    <x:dataValidation type="list" sqref="C5:C84">
      <x:formula1>"CVC,PAM / linha arterial,SVD,SNE,SNG,TOT,TQT,Dreno torácico,Dreno abdominal,Cateter HD,PICC,AVP,Curativo cirúrgico,DVE,Dreno lombar,Cateter epidural,BIA,ECMO"</x:formula1>
    </x:dataValidation>
    <x:dataValidation type="list" sqref="I5:I84">
      <x:formula1>"Sim,Não"</x:formula1>
    </x:dataValidation>
    <x:dataValidation type="list" sqref="J5:J84">
      <x:formula1>"Sim,Não"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7fc71f3abb94f7e"/>
    <x:tablePart xmlns:r="http://schemas.openxmlformats.org/officeDocument/2006/relationships" r:id="R61433317ee04490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71FAAAA0-D0BA-0F23-584E-993F4B862CDC}">
            <x14:dataBar gradient="1">
              <x14:cfvo type="min"/>
              <x14:cfvo type="max"/>
              <x14:fillColor rgb="0F766E"/>
            </x14:dataBar>
          </x14:cfRule>
          <xm:sqref>F5:F84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8" hidden="0" customWidth="1"/>
    <x:col min="4" max="4" width="36" hidden="0" customWidth="1"/>
    <x:col min="5" max="5" width="34" hidden="0" customWidth="1"/>
    <x:col min="6" max="6" width="20" hidden="0" customWidth="1"/>
    <x:col min="7" max="7" width="28" hidden="0" customWidth="1"/>
    <x:col min="8" max="8" width="16" hidden="0" customWidth="1"/>
    <x:col min="9" max="9" width="30" hidden="0" customWidth="1"/>
    <x:col min="10" max="10" width="28" hidden="0" customWidth="1"/>
  </x:cols>
  <x:sheetData>
    <x:row r="1" ht="30" customHeight="1">
      <x:c r="A1" s="76" t="str">
        <x:v>DROGAS VASOATIVAS, SEDAÇÃO, ANALGESIA E DELIRIUM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Tabela operacional com doses usuais adultas. Ajustar por peso, resposta, função orgânica e protocolo institucional.</x:v>
      </x:c>
    </x:row>
    <x:row r="4">
      <x:c r="A4" s="24" t="str">
        <x:v>Droga</x:v>
      </x:c>
      <x:c r="B4" s="24" t="str">
        <x:v>Classe</x:v>
      </x:c>
      <x:c r="C4" s="24" t="str">
        <x:v>Indicação principal</x:v>
      </x:c>
      <x:c r="D4" s="24" t="str">
        <x:v>Dose inicial</x:v>
      </x:c>
      <x:c r="E4" s="24" t="str">
        <x:v>Faixa usual</x:v>
      </x:c>
      <x:c r="F4" s="24" t="str">
        <x:v>Dose máxima usual</x:v>
      </x:c>
      <x:c r="G4" s="24" t="str">
        <x:v>Diluição comum</x:v>
      </x:c>
      <x:c r="H4" s="24" t="str">
        <x:v>Via</x:v>
      </x:c>
      <x:c r="I4" s="24" t="str">
        <x:v>Cuidados</x:v>
      </x:c>
      <x:c r="J4" s="24" t="str">
        <x:v>Evitar/atenção</x:v>
      </x:c>
    </x:row>
    <x:row r="5">
      <x:c r="A5" s="56" t="str">
        <x:v>Noradrenalina</x:v>
      </x:c>
      <x:c r="B5" s="56" t="str">
        <x:v>Vasopressor</x:v>
      </x:c>
      <x:c r="C5" s="56" t="str">
        <x:v>Choque distributivo/vasoplégico</x:v>
      </x:c>
      <x:c r="D5" s="56" t="str">
        <x:v>0,05–0,1 mcg/kg/min</x:v>
      </x:c>
      <x:c r="E5" s="56" t="str">
        <x:v>0,05–1 mcg/kg/min</x:v>
      </x:c>
      <x:c r="F5" s="56" t="str">
        <x:v>Individualizar</x:v>
      </x:c>
      <x:c r="G5" s="56" t="str">
        <x:v>Ex: 4–16 mg em SG5%/SF conforme protocolo</x:v>
      </x:c>
      <x:c r="H5" s="56" t="str">
        <x:v>CVC preferencial</x:v>
      </x:c>
      <x:c r="I5" s="56" t="str">
        <x:v>PAM alvo, isquemia, extravasamento</x:v>
      </x:c>
      <x:c r="J5" s="56" t="str">
        <x:v>Hipovolemia não corrigida</x:v>
      </x:c>
    </x:row>
    <x:row r="6">
      <x:c r="A6" s="56" t="str">
        <x:v>Adrenalina</x:v>
      </x:c>
      <x:c r="B6" s="56" t="str">
        <x:v>Vasopressor/inotrópico</x:v>
      </x:c>
      <x:c r="C6" s="56" t="str">
        <x:v>Choque refratário, anafilaxia, PCR</x:v>
      </x:c>
      <x:c r="D6" s="56" t="str">
        <x:v>0,02–0,05 mcg/kg/min</x:v>
      </x:c>
      <x:c r="E6" s="56" t="str">
        <x:v>0,02–0,5 mcg/kg/min</x:v>
      </x:c>
      <x:c r="F6" s="56" t="str">
        <x:v>Individualizar</x:v>
      </x:c>
      <x:c r="G6" s="56" t="str">
        <x:v>Conforme protocolo</x:v>
      </x:c>
      <x:c r="H6" s="56" t="str">
        <x:v>CVC</x:v>
      </x:c>
      <x:c r="I6" s="56" t="str">
        <x:v>Lactato pode subir, taquiarritmia</x:v>
      </x:c>
      <x:c r="J6" s="56" t="str">
        <x:v>Arritmias graves sem monitorização</x:v>
      </x:c>
    </x:row>
    <x:row r="7">
      <x:c r="A7" s="56" t="str">
        <x:v>Dobutamina</x:v>
      </x:c>
      <x:c r="B7" s="56" t="str">
        <x:v>Inotrópico</x:v>
      </x:c>
      <x:c r="C7" s="56" t="str">
        <x:v>Baixo débito/choque cardiogênico</x:v>
      </x:c>
      <x:c r="D7" s="56" t="str">
        <x:v>2,5 mcg/kg/min</x:v>
      </x:c>
      <x:c r="E7" s="56" t="str">
        <x:v>2,5–20 mcg/kg/min</x:v>
      </x:c>
      <x:c r="F7" s="56" t="str">
        <x:v>20 mcg/kg/min</x:v>
      </x:c>
      <x:c r="G7" s="56" t="str">
        <x:v>Conforme protocolo</x:v>
      </x:c>
      <x:c r="H7" s="56" t="str">
        <x:v>CVC/AVP monitorado</x:v>
      </x:c>
      <x:c r="I7" s="56" t="str">
        <x:v>Taquicardia, hipotensão</x:v>
      </x:c>
      <x:c r="J7" s="56" t="str">
        <x:v>FA rápida/hipovolemia</x:v>
      </x:c>
    </x:row>
    <x:row r="8">
      <x:c r="A8" s="56" t="str">
        <x:v>Vasopressina</x:v>
      </x:c>
      <x:c r="B8" s="56" t="str">
        <x:v>Vasopressor adjuvante</x:v>
      </x:c>
      <x:c r="C8" s="56" t="str">
        <x:v>Choque séptico com NORA elevada</x:v>
      </x:c>
      <x:c r="D8" s="56" t="str">
        <x:v>0,03 U/min</x:v>
      </x:c>
      <x:c r="E8" s="56" t="str">
        <x:v>0,03–0,04 U/min</x:v>
      </x:c>
      <x:c r="F8" s="56" t="str">
        <x:v>0,04 U/min</x:v>
      </x:c>
      <x:c r="G8" s="56" t="str">
        <x:v>20 U em 100 mL</x:v>
      </x:c>
      <x:c r="H8" s="56" t="str">
        <x:v>CVC</x:v>
      </x:c>
      <x:c r="I8" s="56" t="str">
        <x:v>Isquemia digital/mesentérica</x:v>
      </x:c>
      <x:c r="J8" s="56" t="str">
        <x:v>Uso isolado como 1ª linha</x:v>
      </x:c>
    </x:row>
    <x:row r="9">
      <x:c r="A9" s="56" t="str">
        <x:v>Milrinona</x:v>
      </x:c>
      <x:c r="B9" s="56" t="str">
        <x:v>Inodilatador</x:v>
      </x:c>
      <x:c r="C9" s="56" t="str">
        <x:v>Disfunção VD/baixo débito, hipertensão pulmonar</x:v>
      </x:c>
      <x:c r="D9" s="56" t="str">
        <x:v>Sem bolus na UTI</x:v>
      </x:c>
      <x:c r="E9" s="56" t="str">
        <x:v>0,125–0,75 mcg/kg/min</x:v>
      </x:c>
      <x:c r="F9" s="56" t="str">
        <x:v>0,75 mcg/kg/min</x:v>
      </x:c>
      <x:c r="G9" s="56" t="str">
        <x:v>Conforme protocolo</x:v>
      </x:c>
      <x:c r="H9" s="56" t="str">
        <x:v>CVC/AVP monitorado</x:v>
      </x:c>
      <x:c r="I9" s="56" t="str">
        <x:v>Ajuste renal, hipotensão</x:v>
      </x:c>
      <x:c r="J9" s="56" t="str">
        <x:v>LRA grave sem ajuste</x:v>
      </x:c>
    </x:row>
    <x:row r="10">
      <x:c r="A10" s="56" t="str">
        <x:v>Dopamina</x:v>
      </x:c>
      <x:c r="B10" s="56" t="str">
        <x:v>Vaso/inotrópico</x:v>
      </x:c>
      <x:c r="C10" s="56" t="str">
        <x:v>Uso restrito; bradicardia + choque selecionado</x:v>
      </x:c>
      <x:c r="D10" s="56" t="str">
        <x:v>2–5 mcg/kg/min</x:v>
      </x:c>
      <x:c r="E10" s="56" t="str">
        <x:v>2–20 mcg/kg/min</x:v>
      </x:c>
      <x:c r="F10" s="56" t="str">
        <x:v>20 mcg/kg/min</x:v>
      </x:c>
      <x:c r="G10" s="56" t="str">
        <x:v>Conforme protocolo</x:v>
      </x:c>
      <x:c r="H10" s="56" t="str">
        <x:v>CVC</x:v>
      </x:c>
      <x:c r="I10" s="56" t="str">
        <x:v>Arritmogênica</x:v>
      </x:c>
      <x:c r="J10" s="56" t="str">
        <x:v>Choque séptico rotineiro</x:v>
      </x:c>
    </x:row>
    <x:row r="11">
      <x:c r="A11" s="56" t="str">
        <x:v>Nitroprussiato</x:v>
      </x:c>
      <x:c r="B11" s="56" t="str">
        <x:v>Vasodilatador</x:v>
      </x:c>
      <x:c r="C11" s="56" t="str">
        <x:v>Emergência hipertensiva, pós-carga</x:v>
      </x:c>
      <x:c r="D11" s="56" t="str">
        <x:v>0,3 mcg/kg/min</x:v>
      </x:c>
      <x:c r="E11" s="56" t="str">
        <x:v>0,3–5 mcg/kg/min</x:v>
      </x:c>
      <x:c r="F11" s="56" t="str">
        <x:v>10 mcg/kg/min curto</x:v>
      </x:c>
      <x:c r="G11" s="56" t="str">
        <x:v>Protegido da luz</x:v>
      </x:c>
      <x:c r="H11" s="56" t="str">
        <x:v>Bomba</x:v>
      </x:c>
      <x:c r="I11" s="56" t="str">
        <x:v>Cianeto/tiocianato, PA invasiva</x:v>
      </x:c>
      <x:c r="J11" s="56" t="str">
        <x:v>LRA/hepatopatia sem vigilância</x:v>
      </x:c>
    </x:row>
    <x:row r="12">
      <x:c r="A12" s="56" t="str">
        <x:v>Nitroglicerina</x:v>
      </x:c>
      <x:c r="B12" s="56" t="str">
        <x:v>Vasodilatador venoso</x:v>
      </x:c>
      <x:c r="C12" s="56" t="str">
        <x:v>SCA/EAP hipertensivo</x:v>
      </x:c>
      <x:c r="D12" s="56" t="str">
        <x:v>5–10 mcg/min</x:v>
      </x:c>
      <x:c r="E12" s="56" t="str">
        <x:v>10–200 mcg/min</x:v>
      </x:c>
      <x:c r="F12" s="56" t="str">
        <x:v>Individualizar</x:v>
      </x:c>
      <x:c r="G12" s="56" t="str">
        <x:v>Conforme protocolo</x:v>
      </x:c>
      <x:c r="H12" s="56" t="str">
        <x:v>Bomba</x:v>
      </x:c>
      <x:c r="I12" s="56" t="str">
        <x:v>Cefaleia, hipotensão, tolerância</x:v>
      </x:c>
      <x:c r="J12" s="56" t="str">
        <x:v>Uso recente de inibidor PDE5</x:v>
      </x:c>
    </x:row>
    <x:row r="13">
      <x:c r="A13" s="56" t="str">
        <x:v>Esmolol</x:v>
      </x:c>
      <x:c r="B13" s="56" t="str">
        <x:v>Betabloqueador IV</x:v>
      </x:c>
      <x:c r="C13" s="56" t="str">
        <x:v>Taquiarritmia/controle FC selecionado</x:v>
      </x:c>
      <x:c r="D13" s="56" t="str">
        <x:v>25–50 mcg/kg/min</x:v>
      </x:c>
      <x:c r="E13" s="56" t="str">
        <x:v>50–200 mcg/kg/min</x:v>
      </x:c>
      <x:c r="F13" s="56" t="str">
        <x:v>300 mcg/kg/min</x:v>
      </x:c>
      <x:c r="G13" s="56" t="str">
        <x:v>Conforme protocolo</x:v>
      </x:c>
      <x:c r="H13" s="56" t="str">
        <x:v>Bomba</x:v>
      </x:c>
      <x:c r="I13" s="56" t="str">
        <x:v>Meia-vida curta, hipotensão</x:v>
      </x:c>
      <x:c r="J13" s="56" t="str">
        <x:v>Choque descompensado</x:v>
      </x:c>
    </x:row>
    <x:row r="14">
      <x:c r="A14" s="56" t="str">
        <x:v>Azul de metileno</x:v>
      </x:c>
      <x:c r="B14" s="56" t="str">
        <x:v>Resgate vasoplégico</x:v>
      </x:c>
      <x:c r="C14" s="56" t="str">
        <x:v>Choque vasoplégico refratário selecionado</x:v>
      </x:c>
      <x:c r="D14" s="56" t="str">
        <x:v>1–2 mg/kg IV</x:v>
      </x:c>
      <x:c r="E14" s="56" t="str">
        <x:v>Infusão conforme protocolo</x:v>
      </x:c>
      <x:c r="F14" s="56" t="str">
        <x:v>Individualizar</x:v>
      </x:c>
      <x:c r="G14" s="56" t="str">
        <x:v>Diluição conforme serviço</x:v>
      </x:c>
      <x:c r="H14" s="56" t="str">
        <x:v>Bomba/EV</x:v>
      </x:c>
      <x:c r="I14" s="56" t="str">
        <x:v>Serotonina, SpO2 falsa, G6PD</x:v>
      </x:c>
      <x:c r="J14" s="56" t="str">
        <x:v>ISRS/IMAO, G6PD</x:v>
      </x:c>
    </x:row>
    <x:row r="15">
      <x:c r="A15" s="56" t="str">
        <x:v>Amiodarona</x:v>
      </x:c>
      <x:c r="B15" s="56" t="str">
        <x:v>Antiarrítmico</x:v>
      </x:c>
      <x:c r="C15" s="56" t="str">
        <x:v>FA/TV selecionadas</x:v>
      </x:c>
      <x:c r="D15" s="56" t="str">
        <x:v>150–300 mg IV conforme cenário</x:v>
      </x:c>
      <x:c r="E15" s="56" t="str">
        <x:v>1 mg/min → 0,5 mg/min</x:v>
      </x:c>
      <x:c r="F15" s="56" t="str">
        <x:v>Máx diária conforme protocolo</x:v>
      </x:c>
      <x:c r="G15" s="56" t="str">
        <x:v>Conforme protocolo</x:v>
      </x:c>
      <x:c r="H15" s="56" t="str">
        <x:v>EV</x:v>
      </x:c>
      <x:c r="I15" s="56" t="str">
        <x:v>QT, bradicardia, hipotensão</x:v>
      </x:c>
      <x:c r="J15" s="56" t="str">
        <x:v>QT longo/bradicardia grave</x:v>
      </x:c>
    </x:row>
    <x:row r="16">
      <x:c r="A16" s="56" t="str">
        <x:v>Metoprolol</x:v>
      </x:c>
      <x:c r="B16" s="56" t="str">
        <x:v>Betabloqueador</x:v>
      </x:c>
      <x:c r="C16" s="56" t="str">
        <x:v>Controle de FC se hemodinamicamente tolerado</x:v>
      </x:c>
      <x:c r="D16" s="56" t="str">
        <x:v>2,5–5 mg IV lento</x:v>
      </x:c>
      <x:c r="E16" s="56" t="str">
        <x:v>Repetir conforme resposta</x:v>
      </x:c>
      <x:c r="F16" s="56" t="str">
        <x:v>15 mg IV usual</x:v>
      </x:c>
      <x:c r="G16" s="56" t="str">
        <x:v>Sem diluição ou conforme protocolo</x:v>
      </x:c>
      <x:c r="H16" s="56" t="str">
        <x:v>EV/VO</x:v>
      </x:c>
      <x:c r="I16" s="56" t="str">
        <x:v>PA/FC, broncoespasmo</x:v>
      </x:c>
      <x:c r="J16" s="56" t="str">
        <x:v>Choque, BAV avançado</x:v>
      </x:c>
    </x:row>
    <x:row r="17">
      <x:c r="A17" s="56" t="str">
        <x:v>Atropina</x:v>
      </x:c>
      <x:c r="B17" s="56" t="str">
        <x:v>Anticolinérgico</x:v>
      </x:c>
      <x:c r="C17" s="56" t="str">
        <x:v>Bradicardia sintomática</x:v>
      </x:c>
      <x:c r="D17" s="56" t="str">
        <x:v>1 mg IV</x:v>
      </x:c>
      <x:c r="E17" s="56" t="str">
        <x:v>Repetir 3–5 min</x:v>
      </x:c>
      <x:c r="F17" s="56" t="str">
        <x:v>3 mg</x:v>
      </x:c>
      <x:c r="G17" s="56" t="str">
        <x:v>Sem diluição</x:v>
      </x:c>
      <x:c r="H17" s="56" t="str">
        <x:v>EV</x:v>
      </x:c>
      <x:c r="I17" s="56" t="str">
        <x:v>Pode falhar em BAV infra-His</x:v>
      </x:c>
      <x:c r="J17" s="56" t="str">
        <x:v>Taquiarritmias</x:v>
      </x:c>
    </x:row>
    <x:row r="22">
      <x:c r="A22" s="24" t="str">
        <x:v>Fármaco/Escala</x:v>
      </x:c>
      <x:c r="B22" s="24" t="str">
        <x:v>Uso</x:v>
      </x:c>
      <x:c r="C22" s="24" t="str">
        <x:v>Dose/Meta usual</x:v>
      </x:c>
      <x:c r="D22" s="24" t="str">
        <x:v>Cuidados</x:v>
      </x:c>
      <x:c r="E22" s="24" t="str">
        <x:v>Alerta</x:v>
      </x:c>
    </x:row>
    <x:row r="23">
      <x:c r="A23" s="56" t="str">
        <x:v>Fentanil</x:v>
      </x:c>
      <x:c r="B23" s="56" t="str">
        <x:v>Analgesia</x:v>
      </x:c>
      <x:c r="C23" s="56" t="str">
        <x:v>25–200 mcg/h ou bolus conforme dor</x:v>
      </x:c>
      <x:c r="D23" s="56" t="str">
        <x:v>Acumula, íleo, rigidez torácica em bolus rápido</x:v>
      </x:c>
      <x:c r="E23" s="56" t="str">
        <x:v>Ajustar em instabilidade/hepatopatia</x:v>
      </x:c>
    </x:row>
    <x:row r="24">
      <x:c r="A24" s="56" t="str">
        <x:v>Morfina</x:v>
      </x:c>
      <x:c r="B24" s="56" t="str">
        <x:v>Analgesia</x:v>
      </x:c>
      <x:c r="C24" s="56" t="str">
        <x:v>Bolus/infusão conforme protocolo</x:v>
      </x:c>
      <x:c r="D24" s="56" t="str">
        <x:v>Metabólitos ativos renais</x:v>
      </x:c>
      <x:c r="E24" s="56" t="str">
        <x:v>Evitar/acautelar em LRA importante</x:v>
      </x:c>
    </x:row>
    <x:row r="25">
      <x:c r="A25" s="56" t="str">
        <x:v>Remifentanil</x:v>
      </x:c>
      <x:c r="B25" s="56" t="str">
        <x:v>Analgesia curta</x:v>
      </x:c>
      <x:c r="C25" s="56" t="str">
        <x:v>0,025–0,2 mcg/kg/min</x:v>
      </x:c>
      <x:c r="D25" s="56" t="str">
        <x:v>Rápida titulação</x:v>
      </x:c>
      <x:c r="E25" s="56" t="str">
        <x:v>Hiperalgesia/rebote</x:v>
      </x:c>
    </x:row>
    <x:row r="26">
      <x:c r="A26" s="56" t="str">
        <x:v>Midazolam</x:v>
      </x:c>
      <x:c r="B26" s="56" t="str">
        <x:v>Sedação</x:v>
      </x:c>
      <x:c r="C26" s="56" t="str">
        <x:v>0,02–0,1 mg/kg/h</x:v>
      </x:c>
      <x:c r="D26" s="56" t="str">
        <x:v>Acúmulo, delirium, despertar prolongado</x:v>
      </x:c>
      <x:c r="E26" s="56" t="str">
        <x:v>Evitar sedação profunda prolongada</x:v>
      </x:c>
    </x:row>
    <x:row r="27">
      <x:c r="A27" s="56" t="str">
        <x:v>Propofol</x:v>
      </x:c>
      <x:c r="B27" s="56" t="str">
        <x:v>Sedação</x:v>
      </x:c>
      <x:c r="C27" s="56" t="str">
        <x:v>5–50 mcg/kg/min</x:v>
      </x:c>
      <x:c r="D27" s="56" t="str">
        <x:v>TG, hipotensão, PRIS</x:v>
      </x:c>
      <x:c r="E27" s="56" t="str">
        <x:v>Cautela choque/dose alta prolongada</x:v>
      </x:c>
    </x:row>
    <x:row r="28">
      <x:c r="A28" s="56" t="str">
        <x:v>Dexmedetomidina</x:v>
      </x:c>
      <x:c r="B28" s="56" t="str">
        <x:v>Sedação cooperativa</x:v>
      </x:c>
      <x:c r="C28" s="56" t="str">
        <x:v>0,2–1,4 mcg/kg/h</x:v>
      </x:c>
      <x:c r="D28" s="56" t="str">
        <x:v>Bradicardia/hipotensão</x:v>
      </x:c>
      <x:c r="E28" s="56" t="str">
        <x:v>Cautela BAV/choque</x:v>
      </x:c>
    </x:row>
    <x:row r="29">
      <x:c r="A29" s="56" t="str">
        <x:v>Cetamina</x:v>
      </x:c>
      <x:c r="B29" s="56" t="str">
        <x:v>Analgesia/sedação</x:v>
      </x:c>
      <x:c r="C29" s="56" t="str">
        <x:v>0,05–0,3 mg/kg/h analg.; maior em sedação</x:v>
      </x:c>
      <x:c r="D29" s="56" t="str">
        <x:v>Broncodilatação útil</x:v>
      </x:c>
      <x:c r="E29" s="56" t="str">
        <x:v>HAS/psicose/hipersalivação</x:v>
      </x:c>
    </x:row>
    <x:row r="30">
      <x:c r="A30" s="56" t="str">
        <x:v>Haloperidol</x:v>
      </x:c>
      <x:c r="B30" s="56" t="str">
        <x:v>Delirium/agitação</x:v>
      </x:c>
      <x:c r="C30" s="56" t="str">
        <x:v>0,5–5 mg conforme protocolo</x:v>
      </x:c>
      <x:c r="D30" s="56" t="str">
        <x:v>QT, sintomas extrapiramidais</x:v>
      </x:c>
      <x:c r="E30" s="56" t="str">
        <x:v>ECG/K/Mg</x:v>
      </x:c>
    </x:row>
    <x:row r="31">
      <x:c r="A31" s="56" t="str">
        <x:v>Quetiapina</x:v>
      </x:c>
      <x:c r="B31" s="56" t="str">
        <x:v>Delirium/sono</x:v>
      </x:c>
      <x:c r="C31" s="56" t="str">
        <x:v>12,5–50 mg VO</x:v>
      </x:c>
      <x:c r="D31" s="56" t="str">
        <x:v>Sedação, QT</x:v>
      </x:c>
      <x:c r="E31" s="56" t="str">
        <x:v>Cautela idosos</x:v>
      </x:c>
    </x:row>
    <x:row r="32">
      <x:c r="A32" s="56" t="str">
        <x:v>Rocurônio</x:v>
      </x:c>
      <x:c r="B32" s="56" t="str">
        <x:v>Bloqueio</x:v>
      </x:c>
      <x:c r="C32" s="56" t="str">
        <x:v>Bolus/infusão conforme protocolo</x:v>
      </x:c>
      <x:c r="D32" s="56" t="str">
        <x:v>Monitorar TOF</x:v>
      </x:c>
      <x:c r="E32" s="56" t="str">
        <x:v>Nunca sem sedoanalgesia adequada</x:v>
      </x:c>
    </x:row>
    <x:row r="33">
      <x:c r="A33" s="56" t="str">
        <x:v>Cisatracúrio</x:v>
      </x:c>
      <x:c r="B33" s="56" t="str">
        <x:v>Bloqueio</x:v>
      </x:c>
      <x:c r="C33" s="56" t="str">
        <x:v>Infusão conforme protocolo</x:v>
      </x:c>
      <x:c r="D33" s="56" t="str">
        <x:v>Organ-independent</x:v>
      </x:c>
      <x:c r="E33" s="56" t="str">
        <x:v>TOF, olho, DVT, sedação</x:v>
      </x:c>
    </x:row>
    <x:row r="34">
      <x:c r="A34" s="56" t="str">
        <x:v>RASS</x:v>
      </x:c>
      <x:c r="B34" s="56" t="str">
        <x:v>Meta sedação</x:v>
      </x:c>
      <x:c r="C34" s="56" t="str">
        <x:v>Geralmente 0 a -2; exceções SDRA grave/HIC/bloqueio</x:v>
      </x:c>
      <x:c r="D34" s="56" t="str">
        <x:v>Avaliar diariamente</x:v>
      </x:c>
      <x:c r="E34" s="56" t="str">
        <x:v>Evitar sedação profunda sem indicação</x:v>
      </x:c>
    </x:row>
    <x:row r="35">
      <x:c r="A35" s="56" t="str">
        <x:v>CPOT/BPS</x:v>
      </x:c>
      <x:c r="B35" s="56" t="str">
        <x:v>Dor não verbal</x:v>
      </x:c>
      <x:c r="C35" s="56" t="str">
        <x:v>Alvo dor controlada</x:v>
      </x:c>
      <x:c r="D35" s="56" t="str">
        <x:v>Antes de aumentar sedativo, tratar dor</x:v>
      </x:c>
      <x:c r="E35" s="56" t="str">
        <x:v>Analgesia primeiro</x:v>
      </x:c>
    </x:row>
    <x:row r="36">
      <x:c r="A36" s="56" t="str">
        <x:v>CAM-ICU</x:v>
      </x:c>
      <x:c r="B36" s="56" t="str">
        <x:v>Delirium</x:v>
      </x:c>
      <x:c r="C36" s="56" t="str">
        <x:v>Avaliar 1–2x/dia</x:v>
      </x:c>
      <x:c r="D36" s="56" t="str">
        <x:v>ABCDE/sono/mobilização</x:v>
      </x:c>
      <x:c r="E36" s="56" t="str">
        <x:v>BZD aumenta risco</x:v>
      </x:c>
    </x:row>
    <x:row r="38">
      <x:c r="A38" s="35" t="str">
        <x:v>ABCDEF 🧠: Assess/treat pain • Both SAT/SBT • Choice sedação • Delirium monitor/prevenir • Early mobility • Family engagement.</x:v>
      </x:c>
    </x:row>
  </x:sheetData>
  <x:mergeCells>
    <x:mergeCell ref="A1:L1"/>
    <x:mergeCell ref="A2:L2"/>
    <x:mergeCell ref="A38:L40"/>
  </x:mergeCells>
  <x:pageMargins left="0.7" right="0.7" top="0.75" bottom="0.75" header="0.3" footer="0.3"/>
  <x:tableParts count="2">
    <x:tablePart xmlns:r="http://schemas.openxmlformats.org/officeDocument/2006/relationships" r:id="Ra268c22a1ee24e4b"/>
    <x:tablePart xmlns:r="http://schemas.openxmlformats.org/officeDocument/2006/relationships" r:id="R6d343142d6194b4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16" hidden="0" customWidth="1"/>
    <x:col min="11" max="11" width="12" hidden="0" customWidth="1"/>
    <x:col min="12" max="12" width="42" hidden="0" customWidth="1"/>
  </x:cols>
  <x:sheetData>
    <x:row r="1" ht="30" customHeight="1">
      <x:c r="A1" s="76" t="str">
        <x:v>ANTIBIÓTICOS — AJUSTE PARA FUNÇÃO RENAL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Doses são orientações gerais adultas; individualizar por peso, foco, gravidade, MIC, diálise, TDM e protocolo local.</x:v>
      </x:c>
    </x:row>
    <x:row r="4">
      <x:c r="A4" s="24" t="str">
        <x:v>Antibiótico</x:v>
      </x:c>
      <x:c r="B4" s="24" t="str">
        <x:v>Espectro principal</x:v>
      </x:c>
      <x:c r="C4" s="24" t="str">
        <x:v>Dose usual função renal normal</x:v>
      </x:c>
      <x:c r="D4" s="24" t="str">
        <x:v>ClCr &gt;50</x:v>
      </x:c>
      <x:c r="E4" s="24" t="str">
        <x:v>ClCr 30–50</x:v>
      </x:c>
      <x:c r="F4" s="24" t="str">
        <x:v>ClCr 10–30</x:v>
      </x:c>
      <x:c r="G4" s="24" t="str">
        <x:v>ClCr &lt;10</x:v>
      </x:c>
      <x:c r="H4" s="24" t="str">
        <x:v>HD intermitente</x:v>
      </x:c>
      <x:c r="I4" s="24" t="str">
        <x:v>CRRT</x:v>
      </x:c>
      <x:c r="J4" s="24" t="str">
        <x:v>Dose pós-HD?</x:v>
      </x:c>
      <x:c r="K4" s="24" t="str">
        <x:v>TDM?</x:v>
      </x:c>
      <x:c r="L4" s="24" t="str">
        <x:v>Observações clínicas</x:v>
      </x:c>
    </x:row>
    <x:row r="5">
      <x:c r="A5" s="56" t="str">
        <x:v>Piperacilina-tazobactam</x:v>
      </x:c>
      <x:c r="B5" s="56" t="str">
        <x:v>G− incl. Pseudomonas, anaeróbios</x:v>
      </x:c>
      <x:c r="C5" s="56" t="str">
        <x:v>4,5 g 6/6h ou infusão estendida</x:v>
      </x:c>
      <x:c r="D5" s="56" t="str">
        <x:v>Usual</x:v>
      </x:c>
      <x:c r="E5" s="56" t="str">
        <x:v>Reduzir/estender intervalo</x:v>
      </x:c>
      <x:c r="F5" s="56" t="str">
        <x:v>Reduzir/estender intervalo</x:v>
      </x:c>
      <x:c r="G5" s="56" t="str">
        <x:v>Reduzir</x:v>
      </x:c>
      <x:c r="H5" s="56" t="str">
        <x:v>Dose após HD conforme protocolo</x:v>
      </x:c>
      <x:c r="I5" s="56" t="str">
        <x:v>Pode requerer dose alta/infusão estendida</x:v>
      </x:c>
      <x:c r="J5" s="56" t="str">
        <x:v>Sim</x:v>
      </x:c>
      <x:c r="K5" s="56" t="str">
        <x:v>Não</x:v>
      </x:c>
      <x:c r="L5" s="56" t="str">
        <x:v>PK/PD tempo-dependente; considerar infusão estendida.</x:v>
      </x:c>
    </x:row>
    <x:row r="6">
      <x:c r="A6" s="56" t="str">
        <x:v>Meropenem</x:v>
      </x:c>
      <x:c r="B6" s="56" t="str">
        <x:v>G− ESBL, anaeróbios</x:v>
      </x:c>
      <x:c r="C6" s="56" t="str">
        <x:v>1–2 g 8/8h</x:v>
      </x:c>
      <x:c r="D6" s="56" t="str">
        <x:v>Usual</x:v>
      </x:c>
      <x:c r="E6" s="56" t="str">
        <x:v>Ajustar</x:v>
      </x:c>
      <x:c r="F6" s="56" t="str">
        <x:v>Ajustar</x:v>
      </x:c>
      <x:c r="G6" s="56" t="str">
        <x:v>Ajustar</x:v>
      </x:c>
      <x:c r="H6" s="56" t="str">
        <x:v>Após HD</x:v>
      </x:c>
      <x:c r="I6" s="56" t="str">
        <x:v>Frequentemente dose estendida/alta</x:v>
      </x:c>
      <x:c r="J6" s="56" t="str">
        <x:v>Sim</x:v>
      </x:c>
      <x:c r="K6" s="56" t="str">
        <x:v>Não</x:v>
      </x:c>
      <x:c r="L6" s="56" t="str">
        <x:v>Infusão prolongada em infecção grave.</x:v>
      </x:c>
    </x:row>
    <x:row r="7">
      <x:c r="A7" s="56" t="str">
        <x:v>Imipenem</x:v>
      </x:c>
      <x:c r="B7" s="56" t="str">
        <x:v>Carbapenêmico amplo</x:v>
      </x:c>
      <x:c r="C7" s="56" t="str">
        <x:v>500 mg 6/6h</x:v>
      </x:c>
      <x:c r="D7" s="56" t="str">
        <x:v>Usual</x:v>
      </x:c>
      <x:c r="E7" s="56" t="str">
        <x:v>Ajustar</x:v>
      </x:c>
      <x:c r="F7" s="56" t="str">
        <x:v>Ajustar</x:v>
      </x:c>
      <x:c r="G7" s="56" t="str">
        <x:v>Ajustar</x:v>
      </x:c>
      <x:c r="H7" s="56" t="str">
        <x:v>Após HD</x:v>
      </x:c>
      <x:c r="I7" s="56" t="str">
        <x:v>Ajustar</x:v>
      </x:c>
      <x:c r="J7" s="56" t="str">
        <x:v>Sim</x:v>
      </x:c>
      <x:c r="K7" s="56" t="str">
        <x:v>Não</x:v>
      </x:c>
      <x:c r="L7" s="56" t="str">
        <x:v>Risco convulsão maior em disfunção renal.</x:v>
      </x:c>
    </x:row>
    <x:row r="8">
      <x:c r="A8" s="56" t="str">
        <x:v>Ertapenem</x:v>
      </x:c>
      <x:c r="B8" s="56" t="str">
        <x:v>ESBL sem Pseudomonas</x:v>
      </x:c>
      <x:c r="C8" s="56" t="str">
        <x:v>1 g 24/24h</x:v>
      </x:c>
      <x:c r="D8" s="56" t="str">
        <x:v>Usual</x:v>
      </x:c>
      <x:c r="E8" s="56" t="str">
        <x:v>Usual/avaliar</x:v>
      </x:c>
      <x:c r="F8" s="56" t="str">
        <x:v>500 mg 24/24h</x:v>
      </x:c>
      <x:c r="G8" s="56" t="str">
        <x:v>500 mg 24/24h</x:v>
      </x:c>
      <x:c r="H8" s="56" t="str">
        <x:v>Após HD</x:v>
      </x:c>
      <x:c r="I8" s="56" t="str">
        <x:v>Ajustar</x:v>
      </x:c>
      <x:c r="J8" s="56" t="str">
        <x:v>Sim</x:v>
      </x:c>
      <x:c r="K8" s="56" t="str">
        <x:v>Não</x:v>
      </x:c>
      <x:c r="L8" s="56" t="str">
        <x:v>Não cobre Pseudomonas/Acinetobacter.</x:v>
      </x:c>
    </x:row>
    <x:row r="9">
      <x:c r="A9" s="56" t="str">
        <x:v>Ceftriaxona</x:v>
      </x:c>
      <x:c r="B9" s="56" t="str">
        <x:v>G− comunitário, SNC</x:v>
      </x:c>
      <x:c r="C9" s="56" t="str">
        <x:v>1–2 g 24/24h</x:v>
      </x:c>
      <x:c r="D9" s="56" t="str">
        <x:v>Usual</x:v>
      </x:c>
      <x:c r="E9" s="56" t="str">
        <x:v>Usual</x:v>
      </x:c>
      <x:c r="F9" s="56" t="str">
        <x:v>Usual</x:v>
      </x:c>
      <x:c r="G9" s="56" t="str">
        <x:v>Usual</x:v>
      </x:c>
      <x:c r="H9" s="56" t="str">
        <x:v>Geralmente sem ajuste</x:v>
      </x:c>
      <x:c r="I9" s="56" t="str">
        <x:v>Usual</x:v>
      </x:c>
      <x:c r="J9" s="56" t="str">
        <x:v>Não</x:v>
      </x:c>
      <x:c r="K9" s="56" t="str">
        <x:v>Não</x:v>
      </x:c>
      <x:c r="L9" s="56" t="str">
        <x:v>Ajustar em hepatopatia grave/colestase.</x:v>
      </x:c>
    </x:row>
    <x:row r="10">
      <x:c r="A10" s="56" t="str">
        <x:v>Cefepime</x:v>
      </x:c>
      <x:c r="B10" s="56" t="str">
        <x:v>G− incl. Pseudomonas</x:v>
      </x:c>
      <x:c r="C10" s="56" t="str">
        <x:v>1–2 g 8–12/12h</x:v>
      </x:c>
      <x:c r="D10" s="56" t="str">
        <x:v>Usual</x:v>
      </x:c>
      <x:c r="E10" s="56" t="str">
        <x:v>Ajustar</x:v>
      </x:c>
      <x:c r="F10" s="56" t="str">
        <x:v>Ajustar</x:v>
      </x:c>
      <x:c r="G10" s="56" t="str">
        <x:v>Ajustar</x:v>
      </x:c>
      <x:c r="H10" s="56" t="str">
        <x:v>Após HD</x:v>
      </x:c>
      <x:c r="I10" s="56" t="str">
        <x:v>Ajustar</x:v>
      </x:c>
      <x:c r="J10" s="56" t="str">
        <x:v>Sim</x:v>
      </x:c>
      <x:c r="K10" s="56" t="str">
        <x:v>Não</x:v>
      </x:c>
      <x:c r="L10" s="56" t="str">
        <x:v>Neurotoxicidade em LRA.</x:v>
      </x:c>
    </x:row>
    <x:row r="11">
      <x:c r="A11" s="56" t="str">
        <x:v>Ceftazidima</x:v>
      </x:c>
      <x:c r="B11" s="56" t="str">
        <x:v>G− incl. Pseudomonas</x:v>
      </x:c>
      <x:c r="C11" s="56" t="str">
        <x:v>2 g 8/8h</x:v>
      </x:c>
      <x:c r="D11" s="56" t="str">
        <x:v>Usual</x:v>
      </x:c>
      <x:c r="E11" s="56" t="str">
        <x:v>Ajustar</x:v>
      </x:c>
      <x:c r="F11" s="56" t="str">
        <x:v>Ajustar</x:v>
      </x:c>
      <x:c r="G11" s="56" t="str">
        <x:v>Ajustar</x:v>
      </x:c>
      <x:c r="H11" s="56" t="str">
        <x:v>Após HD</x:v>
      </x:c>
      <x:c r="I11" s="56" t="str">
        <x:v>Ajustar</x:v>
      </x:c>
      <x:c r="J11" s="56" t="str">
        <x:v>Sim</x:v>
      </x:c>
      <x:c r="K11" s="56" t="str">
        <x:v>Não</x:v>
      </x:c>
      <x:c r="L11" s="56" t="str">
        <x:v>Tempo-dependente.</x:v>
      </x:c>
    </x:row>
    <x:row r="12">
      <x:c r="A12" s="56" t="str">
        <x:v>Cefazolina</x:v>
      </x:c>
      <x:c r="B12" s="56" t="str">
        <x:v>MSSA/pele</x:v>
      </x:c>
      <x:c r="C12" s="56" t="str">
        <x:v>1–2 g 8/8h</x:v>
      </x:c>
      <x:c r="D12" s="56" t="str">
        <x:v>Usual</x:v>
      </x:c>
      <x:c r="E12" s="56" t="str">
        <x:v>Ajustar</x:v>
      </x:c>
      <x:c r="F12" s="56" t="str">
        <x:v>Ajustar</x:v>
      </x:c>
      <x:c r="G12" s="56" t="str">
        <x:v>Ajustar</x:v>
      </x:c>
      <x:c r="H12" s="56" t="str">
        <x:v>Pós-HD esquemas 2/2/3 g</x:v>
      </x:c>
      <x:c r="I12" s="56" t="str">
        <x:v>Ajustar</x:v>
      </x:c>
      <x:c r="J12" s="56" t="str">
        <x:v>Sim</x:v>
      </x:c>
      <x:c r="K12" s="56" t="str">
        <x:v>Não</x:v>
      </x:c>
      <x:c r="L12" s="56" t="str">
        <x:v>Boa opção MSSA quando sensível.</x:v>
      </x:c>
    </x:row>
    <x:row r="13">
      <x:c r="A13" s="56" t="str">
        <x:v>Ampicilina</x:v>
      </x:c>
      <x:c r="B13" s="56" t="str">
        <x:v>Enterococcus/Listeria</x:v>
      </x:c>
      <x:c r="C13" s="56" t="str">
        <x:v>2 g 4/4–6/6h</x:v>
      </x:c>
      <x:c r="D13" s="56" t="str">
        <x:v>Usual</x:v>
      </x:c>
      <x:c r="E13" s="56" t="str">
        <x:v>Ajustar</x:v>
      </x:c>
      <x:c r="F13" s="56" t="str">
        <x:v>Ajustar</x:v>
      </x:c>
      <x:c r="G13" s="56" t="str">
        <x:v>Ajustar</x:v>
      </x:c>
      <x:c r="H13" s="56" t="str">
        <x:v>Após HD</x:v>
      </x:c>
      <x:c r="I13" s="56" t="str">
        <x:v>Ajustar</x:v>
      </x:c>
      <x:c r="J13" s="56" t="str">
        <x:v>Sim</x:v>
      </x:c>
      <x:c r="K13" s="56" t="str">
        <x:v>Não</x:v>
      </x:c>
      <x:c r="L13" s="56" t="str">
        <x:v>SNC exige dose alta.</x:v>
      </x:c>
    </x:row>
    <x:row r="14">
      <x:c r="A14" s="56" t="str">
        <x:v>Ampicilina-sulbactam</x:v>
      </x:c>
      <x:c r="B14" s="56" t="str">
        <x:v>Anaeróbios, Acinetobacter sensível</x:v>
      </x:c>
      <x:c r="C14" s="56" t="str">
        <x:v>3 g 6/6h</x:v>
      </x:c>
      <x:c r="D14" s="56" t="str">
        <x:v>Usual</x:v>
      </x:c>
      <x:c r="E14" s="56" t="str">
        <x:v>Ajustar</x:v>
      </x:c>
      <x:c r="F14" s="56" t="str">
        <x:v>Ajustar</x:v>
      </x:c>
      <x:c r="G14" s="56" t="str">
        <x:v>Ajustar</x:v>
      </x:c>
      <x:c r="H14" s="56" t="str">
        <x:v>Após HD</x:v>
      </x:c>
      <x:c r="I14" s="56" t="str">
        <x:v>Ajustar</x:v>
      </x:c>
      <x:c r="J14" s="56" t="str">
        <x:v>Sim</x:v>
      </x:c>
      <x:c r="K14" s="56" t="str">
        <x:v>Não</x:v>
      </x:c>
      <x:c r="L14" s="56" t="str">
        <x:v>Dose alta para Acinetobacter conforme protocolo.</x:v>
      </x:c>
    </x:row>
    <x:row r="15">
      <x:c r="A15" s="56" t="str">
        <x:v>Amoxicilina-clavulanato</x:v>
      </x:c>
      <x:c r="B15" s="56" t="str">
        <x:v>VO amplo comunitário</x:v>
      </x:c>
      <x:c r="C15" s="56" t="str">
        <x:v>875/125 mg 12/12h</x:v>
      </x:c>
      <x:c r="D15" s="56" t="str">
        <x:v>Usual</x:v>
      </x:c>
      <x:c r="E15" s="56" t="str">
        <x:v>Ajustar</x:v>
      </x:c>
      <x:c r="F15" s="56" t="str">
        <x:v>Evitar 875 se ClCr&lt;30; ajustar</x:v>
      </x:c>
      <x:c r="G15" s="56" t="str">
        <x:v>Ajustar</x:v>
      </x:c>
      <x:c r="H15" s="56" t="str">
        <x:v>Após HD</x:v>
      </x:c>
      <x:c r="I15" s="56" t="str">
        <x:v>Ajustar</x:v>
      </x:c>
      <x:c r="J15" s="56" t="str">
        <x:v>Sim</x:v>
      </x:c>
      <x:c r="K15" s="56" t="str">
        <x:v>Não</x:v>
      </x:c>
      <x:c r="L15" s="56" t="str">
        <x:v>Atenção hepatotoxicidade colestática.</x:v>
      </x:c>
    </x:row>
    <x:row r="16">
      <x:c r="A16" s="56" t="str">
        <x:v>Vancomicina</x:v>
      </x:c>
      <x:c r="B16" s="56" t="str">
        <x:v>MRSA/G+</x:v>
      </x:c>
      <x:c r="C16" s="56" t="str">
        <x:v>Carga 20–25 mg/kg; manutenção por AUC/nível</x:v>
      </x:c>
      <x:c r="D16" s="56" t="str">
        <x:v>Por nível/AUC</x:v>
      </x:c>
      <x:c r="E16" s="56" t="str">
        <x:v>Por nível/AUC</x:v>
      </x:c>
      <x:c r="F16" s="56" t="str">
        <x:v>Por nível/AUC</x:v>
      </x:c>
      <x:c r="G16" s="56" t="str">
        <x:v>Por nível/AUC</x:v>
      </x:c>
      <x:c r="H16" s="56" t="str">
        <x:v>Pós-HD por nível</x:v>
      </x:c>
      <x:c r="I16" s="56" t="str">
        <x:v>Por nível/AUC</x:v>
      </x:c>
      <x:c r="J16" s="56" t="str">
        <x:v>Frequentemente</x:v>
      </x:c>
      <x:c r="K16" s="56" t="str">
        <x:v>Sim</x:v>
      </x:c>
      <x:c r="L16" s="56" t="str">
        <x:v>Preferir AUC/MIC quando possível.</x:v>
      </x:c>
    </x:row>
    <x:row r="17">
      <x:c r="A17" s="56" t="str">
        <x:v>Teicoplanina</x:v>
      </x:c>
      <x:c r="B17" s="56" t="str">
        <x:v>G+ MRSA</x:v>
      </x:c>
      <x:c r="C17" s="56" t="str">
        <x:v>Carga; manutenção conforme nível</x:v>
      </x:c>
      <x:c r="D17" s="56" t="str">
        <x:v>Usual</x:v>
      </x:c>
      <x:c r="E17" s="56" t="str">
        <x:v>Ajustar após carga</x:v>
      </x:c>
      <x:c r="F17" s="56" t="str">
        <x:v>Ajustar</x:v>
      </x:c>
      <x:c r="G17" s="56" t="str">
        <x:v>Ajustar</x:v>
      </x:c>
      <x:c r="H17" s="56" t="str">
        <x:v>Por nível/protocolo</x:v>
      </x:c>
      <x:c r="I17" s="56" t="str">
        <x:v>Por nível</x:v>
      </x:c>
      <x:c r="J17" s="56" t="str">
        <x:v>Variável</x:v>
      </x:c>
      <x:c r="K17" s="56" t="str">
        <x:v>Sim</x:v>
      </x:c>
      <x:c r="L17" s="56" t="str">
        <x:v>Carga geralmente não muda; manutenção muda.</x:v>
      </x:c>
    </x:row>
    <x:row r="18">
      <x:c r="A18" s="56" t="str">
        <x:v>Linezolida</x:v>
      </x:c>
      <x:c r="B18" s="56" t="str">
        <x:v>MRSA/VRE</x:v>
      </x:c>
      <x:c r="C18" s="56" t="str">
        <x:v>600 mg 12/12h</x:v>
      </x:c>
      <x:c r="D18" s="56" t="str">
        <x:v>Usual</x:v>
      </x:c>
      <x:c r="E18" s="56" t="str">
        <x:v>Usual</x:v>
      </x:c>
      <x:c r="F18" s="56" t="str">
        <x:v>Usual</x:v>
      </x:c>
      <x:c r="G18" s="56" t="str">
        <x:v>Usual</x:v>
      </x:c>
      <x:c r="H18" s="56" t="str">
        <x:v>Usual/avaliar</x:v>
      </x:c>
      <x:c r="I18" s="56" t="str">
        <x:v>Usual</x:v>
      </x:c>
      <x:c r="J18" s="56" t="str">
        <x:v>Não</x:v>
      </x:c>
      <x:c r="K18" s="56" t="str">
        <x:v>Opcional</x:v>
      </x:c>
      <x:c r="L18" s="56" t="str">
        <x:v>Plaquetas, serotonina, neuropatia se prolongado.</x:v>
      </x:c>
    </x:row>
    <x:row r="19">
      <x:c r="A19" s="56" t="str">
        <x:v>Daptomicina</x:v>
      </x:c>
      <x:c r="B19" s="56" t="str">
        <x:v>MRSA/VRE bacteremia</x:v>
      </x:c>
      <x:c r="C19" s="56" t="str">
        <x:v>6–10 mg/kg 24/24h</x:v>
      </x:c>
      <x:c r="D19" s="56" t="str">
        <x:v>Usual</x:v>
      </x:c>
      <x:c r="E19" s="56" t="str">
        <x:v>Usual/avaliar</x:v>
      </x:c>
      <x:c r="F19" s="56" t="str">
        <x:v>Ajustar intervalo</x:v>
      </x:c>
      <x:c r="G19" s="56" t="str">
        <x:v>Ajustar intervalo</x:v>
      </x:c>
      <x:c r="H19" s="56" t="str">
        <x:v>Após HD</x:v>
      </x:c>
      <x:c r="I19" s="56" t="str">
        <x:v>Ajustar</x:v>
      </x:c>
      <x:c r="J19" s="56" t="str">
        <x:v>Sim</x:v>
      </x:c>
      <x:c r="K19" s="56" t="str">
        <x:v>Não</x:v>
      </x:c>
      <x:c r="L19" s="56" t="str">
        <x:v>Não usar pneumonia; monitorar CPK.</x:v>
      </x:c>
    </x:row>
    <x:row r="20">
      <x:c r="A20" s="56" t="str">
        <x:v>Tigeciclina</x:v>
      </x:c>
      <x:c r="B20" s="56" t="str">
        <x:v>Amplo, anaeróbios</x:v>
      </x:c>
      <x:c r="C20" s="56" t="str">
        <x:v>100 mg carga; 50 mg 12/12h</x:v>
      </x:c>
      <x:c r="D20" s="56" t="str">
        <x:v>Usual</x:v>
      </x:c>
      <x:c r="E20" s="56" t="str">
        <x:v>Usual</x:v>
      </x:c>
      <x:c r="F20" s="56" t="str">
        <x:v>Usual</x:v>
      </x:c>
      <x:c r="G20" s="56" t="str">
        <x:v>Usual</x:v>
      </x:c>
      <x:c r="H20" s="56" t="str">
        <x:v>Usual</x:v>
      </x:c>
      <x:c r="I20" s="56" t="str">
        <x:v>Usual</x:v>
      </x:c>
      <x:c r="J20" s="56" t="str">
        <x:v>Não</x:v>
      </x:c>
      <x:c r="K20" s="56" t="str">
        <x:v>Não</x:v>
      </x:c>
      <x:c r="L20" s="56" t="str">
        <x:v>Baixo nível sérico; evitar bacteremia isolada.</x:v>
      </x:c>
    </x:row>
    <x:row r="21">
      <x:c r="A21" s="56" t="str">
        <x:v>Polimixina B</x:v>
      </x:c>
      <x:c r="B21" s="56" t="str">
        <x:v>MDR G−</x:v>
      </x:c>
      <x:c r="C21" s="56" t="str">
        <x:v>Dose por peso; protocolo</x:v>
      </x:c>
      <x:c r="D21" s="56" t="str">
        <x:v>Geralmente sem ajuste renal</x:v>
      </x:c>
      <x:c r="E21" s="56" t="str">
        <x:v>Sem ajuste/avaliar</x:v>
      </x:c>
      <x:c r="F21" s="56" t="str">
        <x:v>Sem ajuste/avaliar</x:v>
      </x:c>
      <x:c r="G21" s="56" t="str">
        <x:v>Sem ajuste/avaliar</x:v>
      </x:c>
      <x:c r="H21" s="56" t="str">
        <x:v>Variável</x:v>
      </x:c>
      <x:c r="I21" s="56" t="str">
        <x:v>Variável</x:v>
      </x:c>
      <x:c r="J21" s="56" t="str">
        <x:v>Variável</x:v>
      </x:c>
      <x:c r="K21" s="56" t="str">
        <x:v>Não</x:v>
      </x:c>
      <x:c r="L21" s="56" t="str">
        <x:v>Nefro/neurotoxicidade; consultar infectologia.</x:v>
      </x:c>
    </x:row>
    <x:row r="22">
      <x:c r="A22" s="56" t="str">
        <x:v>Colistina</x:v>
      </x:c>
      <x:c r="B22" s="56" t="str">
        <x:v>MDR G−</x:v>
      </x:c>
      <x:c r="C22" s="56" t="str">
        <x:v>Carga + manutenção</x:v>
      </x:c>
      <x:c r="D22" s="56" t="str">
        <x:v>Ajustar</x:v>
      </x:c>
      <x:c r="E22" s="56" t="str">
        <x:v>Ajustar</x:v>
      </x:c>
      <x:c r="F22" s="56" t="str">
        <x:v>Ajustar</x:v>
      </x:c>
      <x:c r="G22" s="56" t="str">
        <x:v>Ajustar</x:v>
      </x:c>
      <x:c r="H22" s="56" t="str">
        <x:v>Após HD/por protocolo</x:v>
      </x:c>
      <x:c r="I22" s="56" t="str">
        <x:v>Ajustar</x:v>
      </x:c>
      <x:c r="J22" s="56" t="str">
        <x:v>Sim</x:v>
      </x:c>
      <x:c r="K22" s="56" t="str">
        <x:v>Não</x:v>
      </x:c>
      <x:c r="L22" s="56" t="str">
        <x:v>Pró-droga; alto risco erro de unidades.</x:v>
      </x:c>
    </x:row>
    <x:row r="23">
      <x:c r="A23" s="56" t="str">
        <x:v>Amicacina</x:v>
      </x:c>
      <x:c r="B23" s="56" t="str">
        <x:v>G− grave</x:v>
      </x:c>
      <x:c r="C23" s="56" t="str">
        <x:v>15–25 mg/kg dose estendida</x:v>
      </x:c>
      <x:c r="D23" s="56" t="str">
        <x:v>Por nível</x:v>
      </x:c>
      <x:c r="E23" s="56" t="str">
        <x:v>Por nível</x:v>
      </x:c>
      <x:c r="F23" s="56" t="str">
        <x:v>Por nível</x:v>
      </x:c>
      <x:c r="G23" s="56" t="str">
        <x:v>Por nível</x:v>
      </x:c>
      <x:c r="H23" s="56" t="str">
        <x:v>Por nível/pós-HD</x:v>
      </x:c>
      <x:c r="I23" s="56" t="str">
        <x:v>Por nível</x:v>
      </x:c>
      <x:c r="J23" s="56" t="str">
        <x:v>Sim</x:v>
      </x:c>
      <x:c r="K23" s="56" t="str">
        <x:v>Sim</x:v>
      </x:c>
      <x:c r="L23" s="56" t="str">
        <x:v>Nefro/ototoxicidade; dose única inicial em sepse pode ser útil.</x:v>
      </x:c>
    </x:row>
    <x:row r="24">
      <x:c r="A24" s="56" t="str">
        <x:v>Gentamicina</x:v>
      </x:c>
      <x:c r="B24" s="56" t="str">
        <x:v>G−/sinergia</x:v>
      </x:c>
      <x:c r="C24" s="56" t="str">
        <x:v>5–7 mg/kg ou sinergia</x:v>
      </x:c>
      <x:c r="D24" s="56" t="str">
        <x:v>Por nível</x:v>
      </x:c>
      <x:c r="E24" s="56" t="str">
        <x:v>Por nível</x:v>
      </x:c>
      <x:c r="F24" s="56" t="str">
        <x:v>Por nível</x:v>
      </x:c>
      <x:c r="G24" s="56" t="str">
        <x:v>Por nível</x:v>
      </x:c>
      <x:c r="H24" s="56" t="str">
        <x:v>Por nível/pós-HD</x:v>
      </x:c>
      <x:c r="I24" s="56" t="str">
        <x:v>Por nível</x:v>
      </x:c>
      <x:c r="J24" s="56" t="str">
        <x:v>Sim</x:v>
      </x:c>
      <x:c r="K24" s="56" t="str">
        <x:v>Sim</x:v>
      </x:c>
      <x:c r="L24" s="56" t="str">
        <x:v>Evitar cursos longos se possível.</x:v>
      </x:c>
    </x:row>
    <x:row r="25">
      <x:c r="A25" s="56" t="str">
        <x:v>Ciprofloxacino</x:v>
      </x:c>
      <x:c r="B25" s="56" t="str">
        <x:v>G−/Pseudomonas VO/IV</x:v>
      </x:c>
      <x:c r="C25" s="56" t="str">
        <x:v>400 mg IV 8–12/12h</x:v>
      </x:c>
      <x:c r="D25" s="56" t="str">
        <x:v>Usual</x:v>
      </x:c>
      <x:c r="E25" s="56" t="str">
        <x:v>Ajustar</x:v>
      </x:c>
      <x:c r="F25" s="56" t="str">
        <x:v>Ajustar</x:v>
      </x:c>
      <x:c r="G25" s="56" t="str">
        <x:v>Ajustar</x:v>
      </x:c>
      <x:c r="H25" s="56" t="str">
        <x:v>Após HD</x:v>
      </x:c>
      <x:c r="I25" s="56" t="str">
        <x:v>Ajustar</x:v>
      </x:c>
      <x:c r="J25" s="56" t="str">
        <x:v>Sim</x:v>
      </x:c>
      <x:c r="K25" s="56" t="str">
        <x:v>Não</x:v>
      </x:c>
      <x:c r="L25" s="56" t="str">
        <x:v>QT, tendão, SNC, interações.</x:v>
      </x:c>
    </x:row>
    <x:row r="26">
      <x:c r="A26" s="56" t="str">
        <x:v>Levofloxacino</x:v>
      </x:c>
      <x:c r="B26" s="56" t="str">
        <x:v>Respiratório/G−</x:v>
      </x:c>
      <x:c r="C26" s="56" t="str">
        <x:v>750 mg 24/24h</x:v>
      </x:c>
      <x:c r="D26" s="56" t="str">
        <x:v>Usual</x:v>
      </x:c>
      <x:c r="E26" s="56" t="str">
        <x:v>Ajustar</x:v>
      </x:c>
      <x:c r="F26" s="56" t="str">
        <x:v>Ajustar</x:v>
      </x:c>
      <x:c r="G26" s="56" t="str">
        <x:v>Ajustar</x:v>
      </x:c>
      <x:c r="H26" s="56" t="str">
        <x:v>Após HD</x:v>
      </x:c>
      <x:c r="I26" s="56" t="str">
        <x:v>Ajustar</x:v>
      </x:c>
      <x:c r="J26" s="56" t="str">
        <x:v>Sim</x:v>
      </x:c>
      <x:c r="K26" s="56" t="str">
        <x:v>Não</x:v>
      </x:c>
      <x:c r="L26" s="56" t="str">
        <x:v>QT, tendão, SNC.</x:v>
      </x:c>
    </x:row>
    <x:row r="27">
      <x:c r="A27" s="56" t="str">
        <x:v>Metronidazol</x:v>
      </x:c>
      <x:c r="B27" s="56" t="str">
        <x:v>Anaeróbios</x:v>
      </x:c>
      <x:c r="C27" s="56" t="str">
        <x:v>500 mg 8/8h</x:v>
      </x:c>
      <x:c r="D27" s="56" t="str">
        <x:v>Usual</x:v>
      </x:c>
      <x:c r="E27" s="56" t="str">
        <x:v>Usual</x:v>
      </x:c>
      <x:c r="F27" s="56" t="str">
        <x:v>Usual/avaliar</x:v>
      </x:c>
      <x:c r="G27" s="56" t="str">
        <x:v>Usual/avaliar</x:v>
      </x:c>
      <x:c r="H27" s="56" t="str">
        <x:v>Após HD se dose</x:v>
      </x:c>
      <x:c r="I27" s="56" t="str">
        <x:v>Usual</x:v>
      </x:c>
      <x:c r="J27" s="56" t="str">
        <x:v>Variável</x:v>
      </x:c>
      <x:c r="K27" s="56" t="str">
        <x:v>Não</x:v>
      </x:c>
      <x:c r="L27" s="56" t="str">
        <x:v>Ajustar em hepatopatia grave.</x:v>
      </x:c>
    </x:row>
    <x:row r="28">
      <x:c r="A28" s="56" t="str">
        <x:v>Clindamicina</x:v>
      </x:c>
      <x:c r="B28" s="56" t="str">
        <x:v>Anaeróbios/G+ toxin</x:v>
      </x:c>
      <x:c r="C28" s="56" t="str">
        <x:v>600–900 mg 8/8h</x:v>
      </x:c>
      <x:c r="D28" s="56" t="str">
        <x:v>Usual</x:v>
      </x:c>
      <x:c r="E28" s="56" t="str">
        <x:v>Usual</x:v>
      </x:c>
      <x:c r="F28" s="56" t="str">
        <x:v>Usual</x:v>
      </x:c>
      <x:c r="G28" s="56" t="str">
        <x:v>Usual</x:v>
      </x:c>
      <x:c r="H28" s="56" t="str">
        <x:v>Usual</x:v>
      </x:c>
      <x:c r="I28" s="56" t="str">
        <x:v>Usual</x:v>
      </x:c>
      <x:c r="J28" s="56" t="str">
        <x:v>Não</x:v>
      </x:c>
      <x:c r="K28" s="56" t="str">
        <x:v>Não</x:v>
      </x:c>
      <x:c r="L28" s="56" t="str">
        <x:v>C. difficile; efeito antitoxina.</x:v>
      </x:c>
    </x:row>
    <x:row r="29">
      <x:c r="A29" s="56" t="str">
        <x:v>SMX-TMP</x:v>
      </x:c>
      <x:c r="B29" s="56" t="str">
        <x:v>PJP, Steno, UTI</x:v>
      </x:c>
      <x:c r="C29" s="56" t="str">
        <x:v>Por componente TMP/peso</x:v>
      </x:c>
      <x:c r="D29" s="56" t="str">
        <x:v>Usual</x:v>
      </x:c>
      <x:c r="E29" s="56" t="str">
        <x:v>Ajustar</x:v>
      </x:c>
      <x:c r="F29" s="56" t="str">
        <x:v>Reduzir 50%</x:v>
      </x:c>
      <x:c r="G29" s="56" t="str">
        <x:v>Evitar/individualizar</x:v>
      </x:c>
      <x:c r="H29" s="56" t="str">
        <x:v>Após HD</x:v>
      </x:c>
      <x:c r="I29" s="56" t="str">
        <x:v>Ajustar</x:v>
      </x:c>
      <x:c r="J29" s="56" t="str">
        <x:v>Sim</x:v>
      </x:c>
      <x:c r="K29" s="56" t="str">
        <x:v>Não</x:v>
      </x:c>
      <x:c r="L29" s="56" t="str">
        <x:v>Hipercalemia, creatinina falsa, mielotoxicidade.</x:v>
      </x:c>
    </x:row>
    <x:row r="30">
      <x:c r="A30" s="56" t="str">
        <x:v>Aciclovir</x:v>
      </x:c>
      <x:c r="B30" s="56" t="str">
        <x:v>HSV/VZV</x:v>
      </x:c>
      <x:c r="C30" s="56" t="str">
        <x:v>5–10 mg/kg 8/8h</x:v>
      </x:c>
      <x:c r="D30" s="56" t="str">
        <x:v>Usual</x:v>
      </x:c>
      <x:c r="E30" s="56" t="str">
        <x:v>Ajustar</x:v>
      </x:c>
      <x:c r="F30" s="56" t="str">
        <x:v>Ajustar</x:v>
      </x:c>
      <x:c r="G30" s="56" t="str">
        <x:v>Ajustar</x:v>
      </x:c>
      <x:c r="H30" s="56" t="str">
        <x:v>Após HD</x:v>
      </x:c>
      <x:c r="I30" s="56" t="str">
        <x:v>Ajustar</x:v>
      </x:c>
      <x:c r="J30" s="56" t="str">
        <x:v>Sim</x:v>
      </x:c>
      <x:c r="K30" s="56" t="str">
        <x:v>Não</x:v>
      </x:c>
      <x:c r="L30" s="56" t="str">
        <x:v>Cristalúria/neurotoxicidade; hidratar.</x:v>
      </x:c>
    </x:row>
    <x:row r="31">
      <x:c r="A31" s="56" t="str">
        <x:v>Ganciclovir</x:v>
      </x:c>
      <x:c r="B31" s="56" t="str">
        <x:v>CMV</x:v>
      </x:c>
      <x:c r="C31" s="56" t="str">
        <x:v>5 mg/kg 12/12h indução</x:v>
      </x:c>
      <x:c r="D31" s="56" t="str">
        <x:v>Usual</x:v>
      </x:c>
      <x:c r="E31" s="56" t="str">
        <x:v>Ajustar</x:v>
      </x:c>
      <x:c r="F31" s="56" t="str">
        <x:v>Ajustar</x:v>
      </x:c>
      <x:c r="G31" s="56" t="str">
        <x:v>Ajustar</x:v>
      </x:c>
      <x:c r="H31" s="56" t="str">
        <x:v>Após HD</x:v>
      </x:c>
      <x:c r="I31" s="56" t="str">
        <x:v>Ajustar</x:v>
      </x:c>
      <x:c r="J31" s="56" t="str">
        <x:v>Sim</x:v>
      </x:c>
      <x:c r="K31" s="56" t="str">
        <x:v>Não</x:v>
      </x:c>
      <x:c r="L31" s="56" t="str">
        <x:v>Neutropenia/trombocitopenia.</x:v>
      </x:c>
    </x:row>
    <x:row r="32">
      <x:c r="A32" s="56" t="str">
        <x:v>Fluconazol</x:v>
      </x:c>
      <x:c r="B32" s="56" t="str">
        <x:v>Candida sensível</x:v>
      </x:c>
      <x:c r="C32" s="56" t="str">
        <x:v>400–800 mg/dia</x:v>
      </x:c>
      <x:c r="D32" s="56" t="str">
        <x:v>Usual</x:v>
      </x:c>
      <x:c r="E32" s="56" t="str">
        <x:v>Reduzir após carga</x:v>
      </x:c>
      <x:c r="F32" s="56" t="str">
        <x:v>Reduzir</x:v>
      </x:c>
      <x:c r="G32" s="56" t="str">
        <x:v>Reduzir</x:v>
      </x:c>
      <x:c r="H32" s="56" t="str">
        <x:v>Após HD</x:v>
      </x:c>
      <x:c r="I32" s="56" t="str">
        <x:v>Ajustar</x:v>
      </x:c>
      <x:c r="J32" s="56" t="str">
        <x:v>Sim</x:v>
      </x:c>
      <x:c r="K32" s="56" t="str">
        <x:v>Não</x:v>
      </x:c>
      <x:c r="L32" s="56" t="str">
        <x:v>Carga geralmente preservada.</x:v>
      </x:c>
    </x:row>
    <x:row r="33">
      <x:c r="A33" s="56" t="str">
        <x:v>Anfotericina B</x:v>
      </x:c>
      <x:c r="B33" s="56" t="str">
        <x:v>Fúngico grave</x:v>
      </x:c>
      <x:c r="C33" s="56" t="str">
        <x:v>Formulação e dose por indicação</x:v>
      </x:c>
      <x:c r="D33" s="56" t="str">
        <x:v>Usual</x:v>
      </x:c>
      <x:c r="E33" s="56" t="str">
        <x:v>Usual</x:v>
      </x:c>
      <x:c r="F33" s="56" t="str">
        <x:v>Usual</x:v>
      </x:c>
      <x:c r="G33" s="56" t="str">
        <x:v>Usual</x:v>
      </x:c>
      <x:c r="H33" s="56" t="str">
        <x:v>Usual</x:v>
      </x:c>
      <x:c r="I33" s="56" t="str">
        <x:v>Usual</x:v>
      </x:c>
      <x:c r="J33" s="56" t="str">
        <x:v>Não</x:v>
      </x:c>
      <x:c r="K33" s="56" t="str">
        <x:v>Não</x:v>
      </x:c>
      <x:c r="L33" s="56" t="str">
        <x:v>Nefrotoxicidade, K/Mg; lipossomal menos nefro.</x:v>
      </x:c>
    </x:row>
    <x:row r="34">
      <x:c r="A34" s="56" t="str">
        <x:v>Micafungina</x:v>
      </x:c>
      <x:c r="B34" s="56" t="str">
        <x:v>Candida</x:v>
      </x:c>
      <x:c r="C34" s="56" t="str">
        <x:v>100 mg/dia</x:v>
      </x:c>
      <x:c r="D34" s="56" t="str">
        <x:v>Usual</x:v>
      </x:c>
      <x:c r="E34" s="56" t="str">
        <x:v>Usual</x:v>
      </x:c>
      <x:c r="F34" s="56" t="str">
        <x:v>Usual</x:v>
      </x:c>
      <x:c r="G34" s="56" t="str">
        <x:v>Usual</x:v>
      </x:c>
      <x:c r="H34" s="56" t="str">
        <x:v>Usual</x:v>
      </x:c>
      <x:c r="I34" s="56" t="str">
        <x:v>Usual</x:v>
      </x:c>
      <x:c r="J34" s="56" t="str">
        <x:v>Não</x:v>
      </x:c>
      <x:c r="K34" s="56" t="str">
        <x:v>Não</x:v>
      </x:c>
      <x:c r="L34" s="56" t="str">
        <x:v>Sem ajuste renal.</x:v>
      </x:c>
    </x:row>
    <x:row r="35">
      <x:c r="A35" s="56" t="str">
        <x:v>Voriconazol</x:v>
      </x:c>
      <x:c r="B35" s="56" t="str">
        <x:v>Aspergillus</x:v>
      </x:c>
      <x:c r="C35" s="56" t="str">
        <x:v>Carga + manutenção</x:v>
      </x:c>
      <x:c r="D35" s="56" t="str">
        <x:v>Usual</x:v>
      </x:c>
      <x:c r="E35" s="56" t="str">
        <x:v>Usual</x:v>
      </x:c>
      <x:c r="F35" s="56" t="str">
        <x:v>Usual</x:v>
      </x:c>
      <x:c r="G35" s="56" t="str">
        <x:v>Usual</x:v>
      </x:c>
      <x:c r="H35" s="56" t="str">
        <x:v>Usual</x:v>
      </x:c>
      <x:c r="I35" s="56" t="str">
        <x:v>Usual</x:v>
      </x:c>
      <x:c r="J35" s="56" t="str">
        <x:v>Não</x:v>
      </x:c>
      <x:c r="K35" s="56" t="str">
        <x:v>Sim</x:v>
      </x:c>
      <x:c r="L35" s="56" t="str">
        <x:v>TDM, hepatotoxicidade, QT; EV tem ciclodextrina.</x:v>
      </x:c>
    </x:row>
    <x:row r="38">
      <x:c r="A38" s="35" t="str">
        <x:v>SEGURANÇA ⚠️: em sepse/choque, dose de ataque frequentemente deve ser preservada mesmo com LRA; ajuste costuma afetar manutenção. Consulte protocolo institucional, infectologia, nefrologia/farmácia clínica e níveis séricos quando disponíveis.</x:v>
      </x:c>
    </x:row>
  </x:sheetData>
  <x:mergeCells>
    <x:mergeCell ref="A1:L1"/>
    <x:mergeCell ref="A2:L2"/>
    <x:mergeCell ref="A38:L40"/>
  </x:mergeCells>
  <x:pageMargins left="0.7" right="0.7" top="0.75" bottom="0.75" header="0.3" footer="0.3"/>
  <x:tableParts count="1">
    <x:tablePart xmlns:r="http://schemas.openxmlformats.org/officeDocument/2006/relationships" r:id="R305bf12f572b453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28" hidden="0" customWidth="1"/>
    <x:col min="10" max="10" width="38" hidden="0" customWidth="1"/>
  </x:cols>
  <x:sheetData>
    <x:row r="1" ht="30" customHeight="1">
      <x:c r="A1" s="76" t="str">
        <x:v>MEDICAÇÕES NÃO ANTIBIÓTICAS COM AJUSTE RENAL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Fármacos comuns em UTI que acumulam na disfunção renal ou exigem cautela especial.</x:v>
      </x:c>
    </x:row>
    <x:row r="4">
      <x:c r="A4" s="24" t="str">
        <x:v>Medicamento</x:v>
      </x:c>
      <x:c r="B4" s="24" t="str">
        <x:v>Indicação comum UTI</x:v>
      </x:c>
      <x:c r="C4" s="24" t="str">
        <x:v>Dose usual</x:v>
      </x:c>
      <x:c r="D4" s="24" t="str">
        <x:v>ClCr 30–50</x:v>
      </x:c>
      <x:c r="E4" s="24" t="str">
        <x:v>ClCr 10–30</x:v>
      </x:c>
      <x:c r="F4" s="24" t="str">
        <x:v>ClCr &lt;10</x:v>
      </x:c>
      <x:c r="G4" s="24" t="str">
        <x:v>Hemodiálise</x:v>
      </x:c>
      <x:c r="H4" s="24" t="str">
        <x:v>Contraindicação/atenção</x:v>
      </x:c>
      <x:c r="I4" s="24" t="str">
        <x:v>Toxicidade se acumular</x:v>
      </x:c>
      <x:c r="J4" s="24" t="str">
        <x:v>Observações</x:v>
      </x:c>
    </x:row>
    <x:row r="5">
      <x:c r="A5" s="56" t="str">
        <x:v>Levetiracetam</x:v>
      </x:c>
      <x:c r="B5" s="56" t="str">
        <x:v>Crise/epilepsia</x:v>
      </x:c>
      <x:c r="C5" s="56" t="str">
        <x:v>500–1500 mg 12/12h</x:v>
      </x:c>
      <x:c r="D5" s="56" t="str">
        <x:v>500–1000 mg 12/12h</x:v>
      </x:c>
      <x:c r="E5" s="56" t="str">
        <x:v>250–750 mg 12/12h</x:v>
      </x:c>
      <x:c r="F5" s="56" t="str">
        <x:v>250–500 mg 12/12h</x:v>
      </x:c>
      <x:c r="G5" s="56" t="str">
        <x:v>Dose suplementar pós-HD</x:v>
      </x:c>
      <x:c r="H5" s="56" t="str">
        <x:v>Ajustar manutenção</x:v>
      </x:c>
      <x:c r="I5" s="56" t="str">
        <x:v>Sonolência, irritabilidade, encefalopatia</x:v>
      </x:c>
      <x:c r="J5" s="56" t="str">
        <x:v>Carga pode ser preservada; manutenção por ClCr.</x:v>
      </x:c>
    </x:row>
    <x:row r="6">
      <x:c r="A6" s="56" t="str">
        <x:v>Gabapentina</x:v>
      </x:c>
      <x:c r="B6" s="56" t="str">
        <x:v>Dor neuropática</x:v>
      </x:c>
      <x:c r="C6" s="56" t="str">
        <x:v>300 mg 8/8h titulado</x:v>
      </x:c>
      <x:c r="D6" s="56" t="str">
        <x:v>Reduzir</x:v>
      </x:c>
      <x:c r="E6" s="56" t="str">
        <x:v>Reduzir muito</x:v>
      </x:c>
      <x:c r="F6" s="56" t="str">
        <x:v>Evitar ou dose baixa</x:v>
      </x:c>
      <x:c r="G6" s="56" t="str">
        <x:v>Pós-HD</x:v>
      </x:c>
      <x:c r="H6" s="56" t="str">
        <x:v>Cautela idosos</x:v>
      </x:c>
      <x:c r="I6" s="56" t="str">
        <x:v>Sedação, delirium, mioclonia</x:v>
      </x:c>
      <x:c r="J6" s="56" t="str">
        <x:v>Grande acúmulo renal.</x:v>
      </x:c>
    </x:row>
    <x:row r="7">
      <x:c r="A7" s="56" t="str">
        <x:v>Pregabalina</x:v>
      </x:c>
      <x:c r="B7" s="56" t="str">
        <x:v>Dor neuropática</x:v>
      </x:c>
      <x:c r="C7" s="56" t="str">
        <x:v>75 mg 12/12h</x:v>
      </x:c>
      <x:c r="D7" s="56" t="str">
        <x:v>Reduzir</x:v>
      </x:c>
      <x:c r="E7" s="56" t="str">
        <x:v>Reduzir</x:v>
      </x:c>
      <x:c r="F7" s="56" t="str">
        <x:v>Reduzir muito</x:v>
      </x:c>
      <x:c r="G7" s="56" t="str">
        <x:v>Pós-HD</x:v>
      </x:c>
      <x:c r="H7" s="56" t="str">
        <x:v>Cautela idosos</x:v>
      </x:c>
      <x:c r="I7" s="56" t="str">
        <x:v>Sonolência, edema</x:v>
      </x:c>
      <x:c r="J7" s="56" t="str">
        <x:v>Ajuste obrigatório.</x:v>
      </x:c>
    </x:row>
    <x:row r="8">
      <x:c r="A8" s="56" t="str">
        <x:v>Enoxaparina</x:v>
      </x:c>
      <x:c r="B8" s="56" t="str">
        <x:v>TEV profilaxia/plena</x:v>
      </x:c>
      <x:c r="C8" s="56" t="str">
        <x:v>40 mg/dia ou 1 mg/kg 12/12h</x:v>
      </x:c>
      <x:c r="D8" s="56" t="str">
        <x:v>Usual/avaliar</x:v>
      </x:c>
      <x:c r="E8" s="56" t="str">
        <x:v>Profilaxia 30 mg/dia; plena ajustar</x:v>
      </x:c>
      <x:c r="F8" s="56" t="str">
        <x:v>Evitar plena ou anti-Xa</x:v>
      </x:c>
      <x:c r="G8" s="56" t="str">
        <x:v>Cautela</x:v>
      </x:c>
      <x:c r="H8" s="56" t="str">
        <x:v>Sangramento/LRA</x:v>
      </x:c>
      <x:c r="I8" s="56" t="str">
        <x:v>Sangramento</x:v>
      </x:c>
      <x:c r="J8" s="56" t="str">
        <x:v>Preferir HNF se ClCr muito baixo/instável.</x:v>
      </x:c>
    </x:row>
    <x:row r="9">
      <x:c r="A9" s="56" t="str">
        <x:v>Fondaparinux</x:v>
      </x:c>
      <x:c r="B9" s="56" t="str">
        <x:v>TEV</x:v>
      </x:c>
      <x:c r="C9" s="56" t="str">
        <x:v>2,5 mg/dia profilaxia</x:v>
      </x:c>
      <x:c r="D9" s="56" t="str">
        <x:v>Cautela</x:v>
      </x:c>
      <x:c r="E9" s="56" t="str">
        <x:v>Evitar se &lt;30</x:v>
      </x:c>
      <x:c r="F9" s="56" t="str">
        <x:v>Contraindicado</x:v>
      </x:c>
      <x:c r="G9" s="56" t="str">
        <x:v>Contraindicado</x:v>
      </x:c>
      <x:c r="H9" s="56" t="str">
        <x:v>ClCr &lt;30</x:v>
      </x:c>
      <x:c r="I9" s="56" t="str">
        <x:v>Sangramento</x:v>
      </x:c>
      <x:c r="J9" s="56" t="str">
        <x:v>Pouco reversível.</x:v>
      </x:c>
    </x:row>
    <x:row r="10">
      <x:c r="A10" s="56" t="str">
        <x:v>Digoxina</x:v>
      </x:c>
      <x:c r="B10" s="56" t="str">
        <x:v>FA/IC selecionada</x:v>
      </x:c>
      <x:c r="C10" s="56" t="str">
        <x:v>0,125 mg/dia ou menor</x:v>
      </x:c>
      <x:c r="D10" s="56" t="str">
        <x:v>Reduzir</x:v>
      </x:c>
      <x:c r="E10" s="56" t="str">
        <x:v>Reduzir</x:v>
      </x:c>
      <x:c r="F10" s="56" t="str">
        <x:v>Reduzir/monitorar</x:v>
      </x:c>
      <x:c r="G10" s="56" t="str">
        <x:v>Pouco dializável</x:v>
      </x:c>
      <x:c r="H10" s="56" t="str">
        <x:v>Hipocalemia/LRA</x:v>
      </x:c>
      <x:c r="I10" s="56" t="str">
        <x:v>Arritmia, náusea, visão, confusão</x:v>
      </x:c>
      <x:c r="J10" s="56" t="str">
        <x:v>Monitorar nível/K/Mg.</x:v>
      </x:c>
    </x:row>
    <x:row r="11">
      <x:c r="A11" s="56" t="str">
        <x:v>Metformina</x:v>
      </x:c>
      <x:c r="B11" s="56" t="str">
        <x:v>DM2</x:v>
      </x:c>
      <x:c r="C11" s="56" t="str">
        <x:v>VO</x:v>
      </x:c>
      <x:c r="D11" s="56" t="str">
        <x:v>Cautela</x:v>
      </x:c>
      <x:c r="E11" s="56" t="str">
        <x:v>Evitar/individualizar</x:v>
      </x:c>
      <x:c r="F11" s="56" t="str">
        <x:v>Contraindicar</x:v>
      </x:c>
      <x:c r="G11" s="56" t="str">
        <x:v>Contraindicar</x:v>
      </x:c>
      <x:c r="H11" s="56" t="str">
        <x:v>LRA, hipóxia, choque</x:v>
      </x:c>
      <x:c r="I11" s="56" t="str">
        <x:v>Acidose láctica</x:v>
      </x:c>
      <x:c r="J11" s="56" t="str">
        <x:v>Suspender em UTI instável.</x:v>
      </x:c>
    </x:row>
    <x:row r="12">
      <x:c r="A12" s="56" t="str">
        <x:v>Alopurinol</x:v>
      </x:c>
      <x:c r="B12" s="56" t="str">
        <x:v>Hiperuricemia</x:v>
      </x:c>
      <x:c r="C12" s="56" t="str">
        <x:v>100–300 mg/dia</x:v>
      </x:c>
      <x:c r="D12" s="56" t="str">
        <x:v>Reduzir</x:v>
      </x:c>
      <x:c r="E12" s="56" t="str">
        <x:v>Reduzir</x:v>
      </x:c>
      <x:c r="F12" s="56" t="str">
        <x:v>Reduzir muito</x:v>
      </x:c>
      <x:c r="G12" s="56" t="str">
        <x:v>Pós-HD</x:v>
      </x:c>
      <x:c r="H12" s="56" t="str">
        <x:v>Rash/SCAR</x:v>
      </x:c>
      <x:c r="I12" s="56" t="str">
        <x:v>Síndrome hipersensibilidade</x:v>
      </x:c>
      <x:c r="J12" s="56" t="str">
        <x:v>Começar baixo.</x:v>
      </x:c>
    </x:row>
    <x:row r="13">
      <x:c r="A13" s="56" t="str">
        <x:v>Rivaroxabana</x:v>
      </x:c>
      <x:c r="B13" s="56" t="str">
        <x:v>FA/TEV</x:v>
      </x:c>
      <x:c r="C13" s="56" t="str">
        <x:v>Dose por indicação</x:v>
      </x:c>
      <x:c r="D13" s="56" t="str">
        <x:v>Ajustar conforme indicação</x:v>
      </x:c>
      <x:c r="E13" s="56" t="str">
        <x:v>Evitar/cautela</x:v>
      </x:c>
      <x:c r="F13" s="56" t="str">
        <x:v>Evitar</x:v>
      </x:c>
      <x:c r="G13" s="56" t="str">
        <x:v>Evitar</x:v>
      </x:c>
      <x:c r="H13" s="56" t="str">
        <x:v>LRA/risco sangramento</x:v>
      </x:c>
      <x:c r="I13" s="56" t="str">
        <x:v>Sangramento</x:v>
      </x:c>
      <x:c r="J13" s="56" t="str">
        <x:v>Preferir HNF em UTI instável.</x:v>
      </x:c>
    </x:row>
    <x:row r="14">
      <x:c r="A14" s="56" t="str">
        <x:v>Apixabana</x:v>
      </x:c>
      <x:c r="B14" s="56" t="str">
        <x:v>FA/TEV</x:v>
      </x:c>
      <x:c r="C14" s="56" t="str">
        <x:v>Dose por indicação</x:v>
      </x:c>
      <x:c r="D14" s="56" t="str">
        <x:v>Ajustar critérios</x:v>
      </x:c>
      <x:c r="E14" s="56" t="str">
        <x:v>Cautela</x:v>
      </x:c>
      <x:c r="F14" s="56" t="str">
        <x:v>Cautela/evitar</x:v>
      </x:c>
      <x:c r="G14" s="56" t="str">
        <x:v>Dados variam</x:v>
      </x:c>
      <x:c r="H14" s="56" t="str">
        <x:v>Sangramento</x:v>
      </x:c>
      <x:c r="I14" s="56" t="str">
        <x:v>Sangramento</x:v>
      </x:c>
      <x:c r="J14" s="56" t="str">
        <x:v>Ver idade/peso/Cr e indicação.</x:v>
      </x:c>
    </x:row>
    <x:row r="15">
      <x:c r="A15" s="56" t="str">
        <x:v>Dabigatrana</x:v>
      </x:c>
      <x:c r="B15" s="56" t="str">
        <x:v>FA/TEV</x:v>
      </x:c>
      <x:c r="C15" s="56" t="str">
        <x:v>Dose por indicação</x:v>
      </x:c>
      <x:c r="D15" s="56" t="str">
        <x:v>Ajustar</x:v>
      </x:c>
      <x:c r="E15" s="56" t="str">
        <x:v>Evitar/cautela</x:v>
      </x:c>
      <x:c r="F15" s="56" t="str">
        <x:v>Contraindicar</x:v>
      </x:c>
      <x:c r="G15" s="56" t="str">
        <x:v>Dializável</x:v>
      </x:c>
      <x:c r="H15" s="56" t="str">
        <x:v>LRA</x:v>
      </x:c>
      <x:c r="I15" s="56" t="str">
        <x:v>Sangramento</x:v>
      </x:c>
      <x:c r="J15" s="56" t="str">
        <x:v>Reversão com idarucizumabe.</x:v>
      </x:c>
    </x:row>
    <x:row r="16">
      <x:c r="A16" s="56" t="str">
        <x:v>Morfina</x:v>
      </x:c>
      <x:c r="B16" s="56" t="str">
        <x:v>Dor</x:v>
      </x:c>
      <x:c r="C16" s="56" t="str">
        <x:v>Bolus/infusão</x:v>
      </x:c>
      <x:c r="D16" s="56" t="str">
        <x:v>Cautela</x:v>
      </x:c>
      <x:c r="E16" s="56" t="str">
        <x:v>Evitar/reduzir</x:v>
      </x:c>
      <x:c r="F16" s="56" t="str">
        <x:v>Evitar</x:v>
      </x:c>
      <x:c r="G16" s="56" t="str">
        <x:v>Pouco útil</x:v>
      </x:c>
      <x:c r="H16" s="56" t="str">
        <x:v>LRA</x:v>
      </x:c>
      <x:c r="I16" s="56" t="str">
        <x:v>Sedação, depressão resp., mioclonia</x:v>
      </x:c>
      <x:c r="J16" s="56" t="str">
        <x:v>Metabólitos ativos renais.</x:v>
      </x:c>
    </x:row>
    <x:row r="17">
      <x:c r="A17" s="56" t="str">
        <x:v>Tramadol</x:v>
      </x:c>
      <x:c r="B17" s="56" t="str">
        <x:v>Dor</x:v>
      </x:c>
      <x:c r="C17" s="56" t="str">
        <x:v>50–100 mg 6/6–8/8h</x:v>
      </x:c>
      <x:c r="D17" s="56" t="str">
        <x:v>Ajustar</x:v>
      </x:c>
      <x:c r="E17" s="56" t="str">
        <x:v>Ajustar intervalo</x:v>
      </x:c>
      <x:c r="F17" s="56" t="str">
        <x:v>Evitar/ajustar</x:v>
      </x:c>
      <x:c r="G17" s="56" t="str">
        <x:v>Pós-HD variável</x:v>
      </x:c>
      <x:c r="H17" s="56" t="str">
        <x:v>Convulsão/serotonina</x:v>
      </x:c>
      <x:c r="I17" s="56" t="str">
        <x:v>Delirium, convulsão</x:v>
      </x:c>
      <x:c r="J17" s="56" t="str">
        <x:v>Evitar em idosos/delirium.</x:v>
      </x:c>
    </x:row>
    <x:row r="18">
      <x:c r="A18" s="56" t="str">
        <x:v>Insulina</x:v>
      </x:c>
      <x:c r="B18" s="56" t="str">
        <x:v>Hiperglicemia</x:v>
      </x:c>
      <x:c r="C18" s="56" t="str">
        <x:v>Por glicemia/protocolo</x:v>
      </x:c>
      <x:c r="D18" s="56" t="str">
        <x:v>Reduzir se tendência hipo</x:v>
      </x:c>
      <x:c r="E18" s="56" t="str">
        <x:v>Reduzir</x:v>
      </x:c>
      <x:c r="F18" s="56" t="str">
        <x:v>Reduzir</x:v>
      </x:c>
      <x:c r="G18" s="56" t="str">
        <x:v>Varia</x:v>
      </x:c>
      <x:c r="H18" s="56" t="str">
        <x:v>LRA reduz depuração</x:v>
      </x:c>
      <x:c r="I18" s="56" t="str">
        <x:v>Hipoglicemia</x:v>
      </x:c>
      <x:c r="J18" s="56" t="str">
        <x:v>Monitorizar de perto.</x:v>
      </x:c>
    </x:row>
    <x:row r="19">
      <x:c r="A19" s="56" t="str">
        <x:v>Tenofovir</x:v>
      </x:c>
      <x:c r="B19" s="56" t="str">
        <x:v>HIV/HBV</x:v>
      </x:c>
      <x:c r="C19" s="56" t="str">
        <x:v>Por formulação</x:v>
      </x:c>
      <x:c r="D19" s="56" t="str">
        <x:v>Ajustar</x:v>
      </x:c>
      <x:c r="E19" s="56" t="str">
        <x:v>Ajustar</x:v>
      </x:c>
      <x:c r="F19" s="56" t="str">
        <x:v>Evitar/ajustar</x:v>
      </x:c>
      <x:c r="G19" s="56" t="str">
        <x:v>Pós-HD</x:v>
      </x:c>
      <x:c r="H19" s="56" t="str">
        <x:v>Nefrotoxicidade</x:v>
      </x:c>
      <x:c r="I19" s="56" t="str">
        <x:v>Tubulopatia</x:v>
      </x:c>
      <x:c r="J19" s="56" t="str">
        <x:v>Preferir avaliação especialista.</x:v>
      </x:c>
    </x:row>
    <x:row r="20">
      <x:c r="A20" s="56" t="str">
        <x:v>Oseltamivir</x:v>
      </x:c>
      <x:c r="B20" s="56" t="str">
        <x:v>Influenza</x:v>
      </x:c>
      <x:c r="C20" s="56" t="str">
        <x:v>75 mg 12/12h</x:v>
      </x:c>
      <x:c r="D20" s="56" t="str">
        <x:v>Ajustar</x:v>
      </x:c>
      <x:c r="E20" s="56" t="str">
        <x:v>Ajustar</x:v>
      </x:c>
      <x:c r="F20" s="56" t="str">
        <x:v>Ajustar</x:v>
      </x:c>
      <x:c r="G20" s="56" t="str">
        <x:v>Pós-HD</x:v>
      </x:c>
      <x:c r="H20" s="56" t="str">
        <x:v>LRA</x:v>
      </x:c>
      <x:c r="I20" s="56" t="str">
        <x:v>Náusea/neuropsiq.</x:v>
      </x:c>
      <x:c r="J20" s="56" t="str">
        <x:v>Ajuste renal necessário.</x:v>
      </x:c>
    </x:row>
    <x:row r="21">
      <x:c r="A21" s="56" t="str">
        <x:v>Baclofeno</x:v>
      </x:c>
      <x:c r="B21" s="56" t="str">
        <x:v>Espasticidade</x:v>
      </x:c>
      <x:c r="C21" s="56" t="str">
        <x:v>5–10 mg 8/8h</x:v>
      </x:c>
      <x:c r="D21" s="56" t="str">
        <x:v>Evitar/reduzir</x:v>
      </x:c>
      <x:c r="E21" s="56" t="str">
        <x:v>Evitar</x:v>
      </x:c>
      <x:c r="F21" s="56" t="str">
        <x:v>Contraindicar</x:v>
      </x:c>
      <x:c r="G21" s="56" t="str">
        <x:v>Pode requerer HD se toxicidade</x:v>
      </x:c>
      <x:c r="H21" s="56" t="str">
        <x:v>LRA/DRC</x:v>
      </x:c>
      <x:c r="I21" s="56" t="str">
        <x:v>Coma, depressão resp.</x:v>
      </x:c>
      <x:c r="J21" s="56" t="str">
        <x:v>Alto risco em DRC.</x:v>
      </x:c>
    </x:row>
    <x:row r="22">
      <x:c r="A22" s="56" t="str">
        <x:v>Metoclopramida</x:v>
      </x:c>
      <x:c r="B22" s="56" t="str">
        <x:v>Náusea/gastroparesia</x:v>
      </x:c>
      <x:c r="C22" s="56" t="str">
        <x:v>10 mg 8/8h</x:v>
      </x:c>
      <x:c r="D22" s="56" t="str">
        <x:v>Reduzir</x:v>
      </x:c>
      <x:c r="E22" s="56" t="str">
        <x:v>Reduzir</x:v>
      </x:c>
      <x:c r="F22" s="56" t="str">
        <x:v>Reduzir</x:v>
      </x:c>
      <x:c r="G22" s="56" t="str">
        <x:v>Ajustar</x:v>
      </x:c>
      <x:c r="H22" s="56" t="str">
        <x:v>Parkinson/EPS</x:v>
      </x:c>
      <x:c r="I22" s="56" t="str">
        <x:v>Distonia, sonolência</x:v>
      </x:c>
      <x:c r="J22" s="56" t="str">
        <x:v>Ajustar se ClCr baixo.</x:v>
      </x:c>
    </x:row>
    <x:row r="23">
      <x:c r="A23" s="56" t="str">
        <x:v>Famotidina</x:v>
      </x:c>
      <x:c r="B23" s="56" t="str">
        <x:v>Profilaxia úlcera</x:v>
      </x:c>
      <x:c r="C23" s="56" t="str">
        <x:v>20 mg 12/12h</x:v>
      </x:c>
      <x:c r="D23" s="56" t="str">
        <x:v>Reduzir</x:v>
      </x:c>
      <x:c r="E23" s="56" t="str">
        <x:v>Reduzir</x:v>
      </x:c>
      <x:c r="F23" s="56" t="str">
        <x:v>Reduzir</x:v>
      </x:c>
      <x:c r="G23" s="56" t="str">
        <x:v>Pós-HD</x:v>
      </x:c>
      <x:c r="H23" s="56" t="str">
        <x:v>Delirium/idosos</x:v>
      </x:c>
      <x:c r="I23" s="56" t="str">
        <x:v>Confusão, QT raro</x:v>
      </x:c>
      <x:c r="J23" s="56" t="str">
        <x:v>Preferir dose baixa em LRA.</x:v>
      </x:c>
    </x:row>
    <x:row r="24">
      <x:c r="A24" s="56" t="str">
        <x:v>Colchicina</x:v>
      </x:c>
      <x:c r="B24" s="56" t="str">
        <x:v>Gota/pericardite</x:v>
      </x:c>
      <x:c r="C24" s="56" t="str">
        <x:v>0,5–0,6 mg 1–2x/dia</x:v>
      </x:c>
      <x:c r="D24" s="56" t="str">
        <x:v>Reduzir</x:v>
      </x:c>
      <x:c r="E24" s="56" t="str">
        <x:v>Evitar/reduzir</x:v>
      </x:c>
      <x:c r="F24" s="56" t="str">
        <x:v>Evitar</x:v>
      </x:c>
      <x:c r="G24" s="56" t="str">
        <x:v>Não dializável</x:v>
      </x:c>
      <x:c r="H24" s="56" t="str">
        <x:v>Claritro/macrolídeos, DRC</x:v>
      </x:c>
      <x:c r="I24" s="56" t="str">
        <x:v>Mielotoxicidade, rabdo</x:v>
      </x:c>
      <x:c r="J24" s="56" t="str">
        <x:v>Muito perigosa em DRC + inibidores CYP/P-gp.</x:v>
      </x:c>
    </x:row>
  </x:sheetData>
  <x:mergeCells>
    <x:mergeCell ref="A1:J1"/>
    <x:mergeCell ref="A2:J2"/>
  </x:mergeCells>
  <x:conditionalFormatting sqref="A5:A24">
    <x:cfRule type="expression" dxfId="12" priority="1">
      <x:formula>$A5="Levetiracetam"</x:formula>
    </x:cfRule>
  </x:conditionalFormatting>
  <x:conditionalFormatting sqref="F5:F24">
    <x:cfRule type="expression" dxfId="13" priority="2">
      <x:formula>OR(ISNUMBER(SEARCH("Evitar",$F5)),ISNUMBER(SEARCH("Contra",$F5)))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1af275543049f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38" hidden="0" customWidth="1"/>
    <x:col min="4" max="4" width="22" hidden="0" customWidth="1"/>
    <x:col min="5" max="5" width="24" hidden="0" customWidth="1"/>
    <x:col min="6" max="6" width="34" hidden="0" customWidth="1"/>
    <x:col min="7" max="7" width="40" hidden="0" customWidth="1"/>
    <x:col min="8" max="8" width="24" hidden="0" customWidth="1"/>
    <x:col min="9" max="9" width="36" hidden="0" customWidth="1"/>
  </x:cols>
  <x:sheetData>
    <x:row r="1" ht="30" customHeight="1">
      <x:c r="A1" s="76" t="str">
        <x:v>ANTICOAGULAÇÃO, CONTRAINDICAÇÕES E REVERSÃO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Profilaxia/terapia anticoagulante em UTI. Escolha deve considerar sangramento, rim, neurocirurgia e procedimentos.</x:v>
      </x:c>
    </x:row>
    <x:row r="4">
      <x:c r="A4" s="24" t="str">
        <x:v>Cenário/Fármaco</x:v>
      </x:c>
      <x:c r="B4" s="24" t="str">
        <x:v>Indicação</x:v>
      </x:c>
      <x:c r="C4" s="24" t="str">
        <x:v>Dose usual</x:v>
      </x:c>
      <x:c r="D4" s="24" t="str">
        <x:v>Ajuste renal</x:v>
      </x:c>
      <x:c r="E4" s="24" t="str">
        <x:v>Monitorização</x:v>
      </x:c>
      <x:c r="F4" s="24" t="str">
        <x:v>Quando suspender</x:v>
      </x:c>
      <x:c r="G4" s="24" t="str">
        <x:v>Quando evitar</x:v>
      </x:c>
      <x:c r="H4" s="24" t="str">
        <x:v>Reversão/antídoto</x:v>
      </x:c>
      <x:c r="I4" s="24" t="str">
        <x:v>Observações</x:v>
      </x:c>
    </x:row>
    <x:row r="5">
      <x:c r="A5" s="56" t="str">
        <x:v>HNF profilática</x:v>
      </x:c>
      <x:c r="B5" s="56" t="str">
        <x:v>Profilaxia TEV</x:v>
      </x:c>
      <x:c r="C5" s="56" t="str">
        <x:v>5.000 UI SC 8/8–12/12h</x:v>
      </x:c>
      <x:c r="D5" s="56" t="str">
        <x:v>Não relevante</x:v>
      </x:c>
      <x:c r="E5" s="56" t="str">
        <x:v>Plaquetas se risco HIT</x:v>
      </x:c>
      <x:c r="F5" s="56" t="str">
        <x:v>Sangramento/procedimento</x:v>
      </x:c>
      <x:c r="G5" s="56" t="str">
        <x:v>HIT ativa</x:v>
      </x:c>
      <x:c r="H5" s="56" t="str">
        <x:v>Protamina parcial</x:v>
      </x:c>
      <x:c r="I5" s="56" t="str">
        <x:v>Preferível em LRA grave.</x:v>
      </x:c>
    </x:row>
    <x:row r="6">
      <x:c r="A6" s="56" t="str">
        <x:v>HNF plena</x:v>
      </x:c>
      <x:c r="B6" s="56" t="str">
        <x:v>TEV/FA/ponte</x:v>
      </x:c>
      <x:c r="C6" s="56" t="str">
        <x:v>Bolus + infusão por TTPa/anti-Xa</x:v>
      </x:c>
      <x:c r="D6" s="56" t="str">
        <x:v>Não relevante</x:v>
      </x:c>
      <x:c r="E6" s="56" t="str">
        <x:v>TTPa/anti-Xa, plaquetas</x:v>
      </x:c>
      <x:c r="F6" s="56" t="str">
        <x:v>Sangramento/procedimento</x:v>
      </x:c>
      <x:c r="G6" s="56" t="str">
        <x:v>HIT</x:v>
      </x:c>
      <x:c r="H6" s="56" t="str">
        <x:v>Protamina</x:v>
      </x:c>
      <x:c r="I6" s="56" t="str">
        <x:v>Boa em paciente instável/procedimentos.</x:v>
      </x:c>
    </x:row>
    <x:row r="7">
      <x:c r="A7" s="56" t="str">
        <x:v>Enoxaparina profilática</x:v>
      </x:c>
      <x:c r="B7" s="56" t="str">
        <x:v>Profilaxia TEV</x:v>
      </x:c>
      <x:c r="C7" s="56" t="str">
        <x:v>40 mg SC/dia</x:v>
      </x:c>
      <x:c r="D7" s="56" t="str">
        <x:v>30 mg/dia se ClCr &lt;30</x:v>
      </x:c>
      <x:c r="E7" s="56" t="str">
        <x:v>Anti-Xa em especiais</x:v>
      </x:c>
      <x:c r="F7" s="56" t="str">
        <x:v>Sangramento/procedimento</x:v>
      </x:c>
      <x:c r="G7" s="56" t="str">
        <x:v>ClCr muito baixo sem ajuste</x:v>
      </x:c>
      <x:c r="H7" s="56" t="str">
        <x:v>Protamina parcial</x:v>
      </x:c>
      <x:c r="I7" s="56" t="str">
        <x:v>Atenção peso extremo.</x:v>
      </x:c>
    </x:row>
    <x:row r="8">
      <x:c r="A8" s="56" t="str">
        <x:v>Enoxaparina plena</x:v>
      </x:c>
      <x:c r="B8" s="56" t="str">
        <x:v>TEV/FA</x:v>
      </x:c>
      <x:c r="C8" s="56" t="str">
        <x:v>1 mg/kg 12/12h</x:v>
      </x:c>
      <x:c r="D8" s="56" t="str">
        <x:v>1 mg/kg 24/24h se ClCr &lt;30</x:v>
      </x:c>
      <x:c r="E8" s="56" t="str">
        <x:v>Anti-Xa se possível</x:v>
      </x:c>
      <x:c r="F8" s="56" t="str">
        <x:v>Sangramento/procedimento</x:v>
      </x:c>
      <x:c r="G8" s="56" t="str">
        <x:v>LRA instável</x:v>
      </x:c>
      <x:c r="H8" s="56" t="str">
        <x:v>Protamina parcial</x:v>
      </x:c>
      <x:c r="I8" s="56" t="str">
        <x:v>Preferir HNF em UTI instável.</x:v>
      </x:c>
    </x:row>
    <x:row r="9">
      <x:c r="A9" s="56" t="str">
        <x:v>Fondaparinux</x:v>
      </x:c>
      <x:c r="B9" s="56" t="str">
        <x:v>TEV/HIT selecionado</x:v>
      </x:c>
      <x:c r="C9" s="56" t="str">
        <x:v>Dose por peso</x:v>
      </x:c>
      <x:c r="D9" s="56" t="str">
        <x:v>Evitar se ClCr &lt;30</x:v>
      </x:c>
      <x:c r="E9" s="56" t="str">
        <x:v>Anti-Xa específico raro</x:v>
      </x:c>
      <x:c r="F9" s="56" t="str">
        <x:v>Sangramento</x:v>
      </x:c>
      <x:c r="G9" s="56" t="str">
        <x:v>DRC grave</x:v>
      </x:c>
      <x:c r="H9" s="56" t="str">
        <x:v>Sem antídoto específico</x:v>
      </x:c>
      <x:c r="I9" s="56" t="str">
        <x:v>Cautela extrema.</x:v>
      </x:c>
    </x:row>
    <x:row r="10">
      <x:c r="A10" s="56" t="str">
        <x:v>Varfarina</x:v>
      </x:c>
      <x:c r="B10" s="56" t="str">
        <x:v>FA/TEV crônico</x:v>
      </x:c>
      <x:c r="C10" s="56" t="str">
        <x:v>Dose por INR</x:v>
      </x:c>
      <x:c r="D10" s="56" t="str">
        <x:v>Sem ajuste renal direto</x:v>
      </x:c>
      <x:c r="E10" s="56" t="str">
        <x:v>INR</x:v>
      </x:c>
      <x:c r="F10" s="56" t="str">
        <x:v>Sangramento/procedimento</x:v>
      </x:c>
      <x:c r="G10" s="56" t="str">
        <x:v>Gestação, sangramento</x:v>
      </x:c>
      <x:c r="H10" s="56" t="str">
        <x:v>Vit K + CCP/PFC</x:v>
      </x:c>
      <x:c r="I10" s="56" t="str">
        <x:v>Interações múltiplas.</x:v>
      </x:c>
    </x:row>
    <x:row r="11">
      <x:c r="A11" s="56" t="str">
        <x:v>Rivaroxabana</x:v>
      </x:c>
      <x:c r="B11" s="56" t="str">
        <x:v>FA/TEV</x:v>
      </x:c>
      <x:c r="C11" s="56" t="str">
        <x:v>Dose por indicação</x:v>
      </x:c>
      <x:c r="D11" s="56" t="str">
        <x:v>Ajuste/evitar conforme ClCr</x:v>
      </x:c>
      <x:c r="E11" s="56" t="str">
        <x:v>Sem rotina</x:v>
      </x:c>
      <x:c r="F11" s="56" t="str">
        <x:v>Sangramento/procedimento</x:v>
      </x:c>
      <x:c r="G11" s="56" t="str">
        <x:v>LRA grave</x:v>
      </x:c>
      <x:c r="H11" s="56" t="str">
        <x:v>Andexanet/CCP</x:v>
      </x:c>
      <x:c r="I11" s="56" t="str">
        <x:v>Evitar em UTI instável.</x:v>
      </x:c>
    </x:row>
    <x:row r="12">
      <x:c r="A12" s="56" t="str">
        <x:v>Apixabana</x:v>
      </x:c>
      <x:c r="B12" s="56" t="str">
        <x:v>FA/TEV</x:v>
      </x:c>
      <x:c r="C12" s="56" t="str">
        <x:v>Dose por indicação</x:v>
      </x:c>
      <x:c r="D12" s="56" t="str">
        <x:v>Critérios idade/peso/Cr</x:v>
      </x:c>
      <x:c r="E12" s="56" t="str">
        <x:v>Sem rotina</x:v>
      </x:c>
      <x:c r="F12" s="56" t="str">
        <x:v>Sangramento/procedimento</x:v>
      </x:c>
      <x:c r="G12" s="56" t="str">
        <x:v>Sangramento ativo</x:v>
      </x:c>
      <x:c r="H12" s="56" t="str">
        <x:v>Andexanet/CCP</x:v>
      </x:c>
      <x:c r="I12" s="56" t="str">
        <x:v>Menor dependência renal que dabigatrana.</x:v>
      </x:c>
    </x:row>
    <x:row r="13">
      <x:c r="A13" s="56" t="str">
        <x:v>Dabigatrana</x:v>
      </x:c>
      <x:c r="B13" s="56" t="str">
        <x:v>FA/TEV</x:v>
      </x:c>
      <x:c r="C13" s="56" t="str">
        <x:v>Dose por indicação</x:v>
      </x:c>
      <x:c r="D13" s="56" t="str">
        <x:v>Evitar em DRC avançada</x:v>
      </x:c>
      <x:c r="E13" s="56" t="str">
        <x:v>TT/dTT se disponível</x:v>
      </x:c>
      <x:c r="F13" s="56" t="str">
        <x:v>Sangramento/procedimento</x:v>
      </x:c>
      <x:c r="G13" s="56" t="str">
        <x:v>LRA</x:v>
      </x:c>
      <x:c r="H13" s="56" t="str">
        <x:v>Idarucizumabe</x:v>
      </x:c>
      <x:c r="I13" s="56" t="str">
        <x:v>Dializável.</x:v>
      </x:c>
    </x:row>
    <x:row r="18">
      <x:c r="A18" s="24" t="str">
        <x:v>Contraindicação/alerta</x:v>
      </x:c>
      <x:c r="B18" s="24" t="str">
        <x:v>Comentário prático</x:v>
      </x:c>
      <x:c r="C18" s="24" t="str">
        <x:v>Ação sugerida</x:v>
      </x:c>
      <x:c r="E18" s="24" t="str">
        <x:v>Agente</x:v>
      </x:c>
      <x:c r="F18" s="24" t="str">
        <x:v>Reverte/uso</x:v>
      </x:c>
      <x:c r="G18" s="24" t="str">
        <x:v>Observações</x:v>
      </x:c>
    </x:row>
    <x:row r="19">
      <x:c r="A19" s="56" t="str">
        <x:v>Sangramento ativo</x:v>
      </x:c>
      <x:c r="B19" s="56" t="str">
        <x:v>Risco imediato supera benefício na maioria dos cenários.</x:v>
      </x:c>
      <x:c r="C19" s="56" t="str">
        <x:v>Suspender e tratar fonte.</x:v>
      </x:c>
      <x:c r="E19" s="56" t="str">
        <x:v>Protamina</x:v>
      </x:c>
      <x:c r="F19" s="56" t="str">
        <x:v>Heparina; parcial LMWH</x:v>
      </x:c>
      <x:c r="G19" s="56" t="str">
        <x:v>Dose conforme tempo e quantidade recebida.</x:v>
      </x:c>
    </x:row>
    <x:row r="20">
      <x:c r="A20" s="56" t="str">
        <x:v>Plaquetopenia grave</x:v>
      </x:c>
      <x:c r="B20" s="56" t="str">
        <x:v>Corte depende do cenário; alto risco se &lt;50 mil, extremo se &lt;20 mil.</x:v>
      </x:c>
      <x:c r="C20" s="56" t="str">
        <x:v>Individualizar/protocolo.</x:v>
      </x:c>
      <x:c r="E20" s="56" t="str">
        <x:v>Vitamina K</x:v>
      </x:c>
      <x:c r="F20" s="56" t="str">
        <x:v>Varfarina</x:v>
      </x:c>
      <x:c r="G20" s="56" t="str">
        <x:v>Ação lenta; combinar com CCP em sangramento grave.</x:v>
      </x:c>
    </x:row>
    <x:row r="21">
      <x:c r="A21" s="56" t="str">
        <x:v>Suspeita de HIT</x:v>
      </x:c>
      <x:c r="B21" s="56" t="str">
        <x:v>Evitar heparinas até esclarecer.</x:v>
      </x:c>
      <x:c r="C21" s="56" t="str">
        <x:v>Usar alternativa conforme especialista.</x:v>
      </x:c>
      <x:c r="E21" s="56" t="str">
        <x:v>Complexo protrombínico</x:v>
      </x:c>
      <x:c r="F21" s="56" t="str">
        <x:v>Varfarina/DOAC off-label em alguns cenários</x:v>
      </x:c>
      <x:c r="G21" s="56" t="str">
        <x:v>Uso conforme disponibilidade/protocolo.</x:v>
      </x:c>
    </x:row>
    <x:row r="22">
      <x:c r="A22" s="56" t="str">
        <x:v>Neurocirurgia/HSA/HIC recente</x:v>
      </x:c>
      <x:c r="B22" s="56" t="str">
        <x:v>Risco de expansão/ressangramento.</x:v>
      </x:c>
      <x:c r="C22" s="56" t="str">
        <x:v>Alinhar com neurocirurgia.</x:v>
      </x:c>
      <x:c r="E22" s="56" t="str">
        <x:v>PFC</x:v>
      </x:c>
      <x:c r="F22" s="56" t="str">
        <x:v>Reposição fatores</x:v>
      </x:c>
      <x:c r="G22" s="56" t="str">
        <x:v>Volume alto; usar em contextos específicos.</x:v>
      </x:c>
    </x:row>
    <x:row r="23">
      <x:c r="A23" s="56" t="str">
        <x:v>Coagulopatia grave</x:v>
      </x:c>
      <x:c r="B23" s="56" t="str">
        <x:v>INR/fibrinogênio/plaquetas alterados.</x:v>
      </x:c>
      <x:c r="C23" s="56" t="str">
        <x:v>Corrigir causa e reavaliar.</x:v>
      </x:c>
      <x:c r="E23" s="56" t="str">
        <x:v>Idarucizumabe</x:v>
      </x:c>
      <x:c r="F23" s="56" t="str">
        <x:v>Dabigatrana</x:v>
      </x:c>
      <x:c r="G23" s="56" t="str">
        <x:v>Antídoto específico.</x:v>
      </x:c>
    </x:row>
    <x:row r="24">
      <x:c r="A24" s="56" t="str">
        <x:v>Procedimento invasivo iminente</x:v>
      </x:c>
      <x:c r="B24" s="56" t="str">
        <x:v>Janela de suspensão varia por droga/rim.</x:v>
      </x:c>
      <x:c r="C24" s="56" t="str">
        <x:v>Planejar ponte/reversão.</x:v>
      </x:c>
      <x:c r="E24" s="56" t="str">
        <x:v>Andexanet alfa</x:v>
      </x:c>
      <x:c r="F24" s="56" t="str">
        <x:v>Inibidores Xa</x:v>
      </x:c>
      <x:c r="G24" s="56" t="str">
        <x:v>Disponibilidade/custo variam.</x:v>
      </x:c>
    </x:row>
    <x:row r="25">
      <x:c r="E25" s="56" t="str">
        <x:v>Plaquetas</x:v>
      </x:c>
      <x:c r="F25" s="56" t="str">
        <x:v>Plaquetopenia/antiagregantes selecionados</x:v>
      </x:c>
      <x:c r="G25" s="56" t="str">
        <x:v>Conforme sangramento/procedimento.</x:v>
      </x:c>
    </x:row>
    <x:row r="26">
      <x:c r="E26" s="56" t="str">
        <x:v>Crioprecipitado/fibrinogênio</x:v>
      </x:c>
      <x:c r="F26" s="56" t="str">
        <x:v>Hipofibrinogenemia</x:v>
      </x:c>
      <x:c r="G26" s="56" t="str">
        <x:v>Meta depende do cenário.</x:v>
      </x:c>
    </x:row>
  </x:sheetData>
  <x:mergeCells>
    <x:mergeCell ref="A1:I1"/>
    <x:mergeCell ref="A2:I2"/>
  </x:mergeCells>
  <x:pageMargins left="0.7" right="0.7" top="0.75" bottom="0.75" header="0.3" footer="0.3"/>
  <x:tableParts count="3">
    <x:tablePart xmlns:r="http://schemas.openxmlformats.org/officeDocument/2006/relationships" r:id="Rd014ae39383e47e0"/>
    <x:tablePart xmlns:r="http://schemas.openxmlformats.org/officeDocument/2006/relationships" r:id="R2003e48b889649e4"/>
    <x:tablePart xmlns:r="http://schemas.openxmlformats.org/officeDocument/2006/relationships" r:id="R044cd4b774b4454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46" hidden="0" customWidth="1"/>
    <x:col min="4" max="4" width="42" hidden="0" customWidth="1"/>
    <x:col min="5" max="5" width="14" hidden="0" customWidth="1"/>
    <x:col min="6" max="6" width="16" hidden="0" customWidth="1"/>
    <x:col min="7" max="7" width="38" hidden="0" customWidth="1"/>
  </x:cols>
  <x:sheetData>
    <x:row r="1" ht="30" customHeight="1">
      <x:c r="A1" s="76" t="str">
        <x:v>VENTILAÇÃO MECÂNICA E GASOMETRIA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Suporte ventilatório, parâmetros iniciais e calculadoras respiratórias/ácido-base.</x:v>
      </x:c>
    </x:row>
    <x:row r="4">
      <x:c r="A4" s="24" t="str">
        <x:v>Modo</x:v>
      </x:c>
      <x:c r="B4" s="24" t="str">
        <x:v>Quando usar</x:v>
      </x:c>
      <x:c r="C4" s="24" t="str">
        <x:v>Parâmetros iniciais</x:v>
      </x:c>
      <x:c r="D4" s="24" t="str">
        <x:v>Vantagens</x:v>
      </x:c>
      <x:c r="E4" s="24" t="str">
        <x:v>Alarmes/erros comuns</x:v>
      </x:c>
      <x:c r="F4" s="24" t="str">
        <x:v>Ajuste conforme gasometria</x:v>
      </x:c>
    </x:row>
    <x:row r="5">
      <x:c r="A5" s="56" t="str">
        <x:v>VCV</x:v>
      </x:c>
      <x:c r="B5" s="56" t="str">
        <x:v>Paciente controlado/bloqueado; controlar Vt</x:v>
      </x:c>
      <x:c r="C5" s="56" t="str">
        <x:v>Vt 4–8 mL/kg PBW, FR, PEEP, FiO2, fluxo</x:v>
      </x:c>
      <x:c r="D5" s="56" t="str">
        <x:v>Vt garantido</x:v>
      </x:c>
      <x:c r="E5" s="56" t="str">
        <x:v>Ppico alto por resistência; auto-PEEP</x:v>
      </x:c>
      <x:c r="F5" s="56" t="str">
        <x:v>Hipercapnia: ↑FR se sem auto-PEEP ou ↑Vt até limite seguro.</x:v>
      </x:c>
    </x:row>
    <x:row r="6">
      <x:c r="A6" s="56" t="str">
        <x:v>PCV</x:v>
      </x:c>
      <x:c r="B6" s="56" t="str">
        <x:v>Pressão limitada; assincronia; SDRA</x:v>
      </x:c>
      <x:c r="C6" s="56" t="str">
        <x:v>Pinsp, PEEP, FR, Ti, FiO2</x:v>
      </x:c>
      <x:c r="D6" s="56" t="str">
        <x:v>Limita pressão, fluxo desacelerado</x:v>
      </x:c>
      <x:c r="E6" s="56" t="str">
        <x:v>Vt varia com complacência/resistência</x:v>
      </x:c>
      <x:c r="F6" s="56" t="str">
        <x:v>Hipercapnia: ↑Pinsp/FR; checar Vt e auto-PEEP.</x:v>
      </x:c>
    </x:row>
    <x:row r="7">
      <x:c r="A7" s="56" t="str">
        <x:v>PSV</x:v>
      </x:c>
      <x:c r="B7" s="56" t="str">
        <x:v>Desmame/respiração espontânea</x:v>
      </x:c>
      <x:c r="C7" s="56" t="str">
        <x:v>PS, PEEP, FiO2</x:v>
      </x:c>
      <x:c r="D7" s="56" t="str">
        <x:v>Conforto e desmame</x:v>
      </x:c>
      <x:c r="E7" s="56" t="str">
        <x:v>Apneia, fadiga, Vt alto</x:v>
      </x:c>
      <x:c r="F7" s="56" t="str">
        <x:v>Ajustar PS para Vt/FR/esforço.</x:v>
      </x:c>
    </x:row>
    <x:row r="8">
      <x:c r="A8" s="56" t="str">
        <x:v>SIMV</x:v>
      </x:c>
      <x:c r="B8" s="56" t="str">
        <x:v>Desmame selecionado</x:v>
      </x:c>
      <x:c r="C8" s="56" t="str">
        <x:v>Mandatórios + PS</x:v>
      </x:c>
      <x:c r="D8" s="56" t="str">
        <x:v>Suporte parcial</x:v>
      </x:c>
      <x:c r="E8" s="56" t="str">
        <x:v>Pode prolongar desmame se mal usado</x:v>
      </x:c>
      <x:c r="F8" s="56" t="str">
        <x:v>Usar com metas claras.</x:v>
      </x:c>
    </x:row>
    <x:row r="9">
      <x:c r="A9" s="56" t="str">
        <x:v>APRV</x:v>
      </x:c>
      <x:c r="B9" s="56" t="str">
        <x:v>SDRA/hipoxemia selecionada</x:v>
      </x:c>
      <x:c r="C9" s="56" t="str">
        <x:v>P high/T high/P low/T low</x:v>
      </x:c>
      <x:c r="D9" s="56" t="str">
        <x:v>Recrutamento</x:v>
      </x:c>
      <x:c r="E9" s="56" t="str">
        <x:v>Complexo; hipercapnia</x:v>
      </x:c>
      <x:c r="F9" s="56" t="str">
        <x:v>Usar com expertise local.</x:v>
      </x:c>
    </x:row>
    <x:row r="10">
      <x:c r="A10" s="56" t="str">
        <x:v>VNI</x:v>
      </x:c>
      <x:c r="B10" s="56" t="str">
        <x:v>DPOC/EAP; paciente colaborativo</x:v>
      </x:c>
      <x:c r="C10" s="56" t="str">
        <x:v>IPAP/EPAP/FiO2</x:v>
      </x:c>
      <x:c r="D10" s="56" t="str">
        <x:v>Evita IOT</x:v>
      </x:c>
      <x:c r="E10" s="56" t="str">
        <x:v>Atrasar IOT se falha</x:v>
      </x:c>
      <x:c r="F10" s="56" t="str">
        <x:v>Reavaliar em 1–2h.</x:v>
      </x:c>
    </x:row>
    <x:row r="11">
      <x:c r="A11" s="56" t="str">
        <x:v>CNAF</x:v>
      </x:c>
      <x:c r="B11" s="56" t="str">
        <x:v>Hipoxemia leve/moderada</x:v>
      </x:c>
      <x:c r="C11" s="56" t="str">
        <x:v>Fluxo 40–60 L/min, FiO2</x:v>
      </x:c>
      <x:c r="D11" s="56" t="str">
        <x:v>Conforto/lavagem CO2</x:v>
      </x:c>
      <x:c r="E11" s="56" t="str">
        <x:v>Atraso IOT</x:v>
      </x:c>
      <x:c r="F11" s="56" t="str">
        <x:v>ROX e trabalho respiratório.</x:v>
      </x:c>
    </x:row>
    <x:row r="14">
      <x:c r="A14" s="24" t="str">
        <x:v>Calculadora</x:v>
      </x:c>
      <x:c r="B14" s="24" t="str">
        <x:v>Valor 1</x:v>
      </x:c>
      <x:c r="C14" s="24" t="str">
        <x:v>Valor 2</x:v>
      </x:c>
      <x:c r="D14" s="24" t="str">
        <x:v>Valor 3</x:v>
      </x:c>
      <x:c r="E14" s="24" t="str">
        <x:v>Valor 4</x:v>
      </x:c>
      <x:c r="F14" s="24" t="str">
        <x:v>Resultado</x:v>
      </x:c>
      <x:c r="G14" s="24" t="str">
        <x:v>Fórmula/uso</x:v>
      </x:c>
    </x:row>
    <x:row r="15">
      <x:c r="A15" s="56" t="str">
        <x:v>Peso predito masculino</x:v>
      </x:c>
      <x:c r="B15" s="68" t="str"/>
      <x:c r="C15" s="68" t="str"/>
      <x:c r="D15" s="68" t="str"/>
      <x:c r="E15" s="68" t="str"/>
      <x:c r="F15" s="72" t="str">
        <x:f>IF(NOT(ISNUMBER(B15)),"",50+0.91*(B15-152.4))</x:f>
      </x:c>
      <x:c r="G15" s="56" t="str">
        <x:v>Entrar B=altura cm. Fórmula: 50 + 0,91*(altura-152,4)</x:v>
      </x:c>
    </x:row>
    <x:row r="16">
      <x:c r="A16" s="56" t="str">
        <x:v>Peso predito feminino</x:v>
      </x:c>
      <x:c r="B16" s="68" t="str"/>
      <x:c r="C16" s="68" t="str"/>
      <x:c r="D16" s="68" t="str"/>
      <x:c r="E16" s="68" t="str"/>
      <x:c r="F16" s="72" t="str">
        <x:f>IF(NOT(ISNUMBER(B16)),"",45.5+0.91*(B16-152.4))</x:f>
      </x:c>
      <x:c r="G16" s="56" t="str">
        <x:v>Entrar B=altura cm. Fórmula: 45,5 + 0,91*(altura-152,4)</x:v>
      </x:c>
    </x:row>
    <x:row r="17">
      <x:c r="A17" s="56" t="str">
        <x:v>Volume corrente 6 mL/kg</x:v>
      </x:c>
      <x:c r="B17" s="68" t="str"/>
      <x:c r="C17" s="68" t="str"/>
      <x:c r="D17" s="68" t="str"/>
      <x:c r="E17" s="68" t="str"/>
      <x:c r="F17" s="72" t="str">
        <x:f>IF(NOT(ISNUMBER(B17)),"",B17*6)</x:f>
      </x:c>
      <x:c r="G17" s="56" t="str">
        <x:v>Entrar B=PBW kg. Fórmula: PBW*6</x:v>
      </x:c>
    </x:row>
    <x:row r="18">
      <x:c r="A18" s="56" t="str">
        <x:v>Driving pressure</x:v>
      </x:c>
      <x:c r="B18" s="68" t="str"/>
      <x:c r="C18" s="68" t="str"/>
      <x:c r="D18" s="68" t="str"/>
      <x:c r="E18" s="68" t="str"/>
      <x:c r="F18" s="72" t="str">
        <x:f>IF(OR(NOT(ISNUMBER(B18)),NOT(ISNUMBER(C18))),"",B18-C18)</x:f>
      </x:c>
      <x:c r="G18" s="56" t="str">
        <x:v>Entrar B=Pplatô; C=PEEP. Fórmula: Pplatô - PEEP</x:v>
      </x:c>
    </x:row>
    <x:row r="19">
      <x:c r="A19" s="56" t="str">
        <x:v>Complacência estática</x:v>
      </x:c>
      <x:c r="B19" s="68" t="str"/>
      <x:c r="C19" s="68" t="str"/>
      <x:c r="D19" s="68" t="str"/>
      <x:c r="E19" s="68" t="str"/>
      <x:c r="F19" s="72" t="str">
        <x:f>IF(OR(NOT(ISNUMBER(B19)),NOT(ISNUMBER(C19)),NOT(ISNUMBER(D19)),C19=D19),"",B19/(C19-D19))</x:f>
      </x:c>
      <x:c r="G19" s="56" t="str">
        <x:v>Entrar B=Vt mL; C=Pplatô; D=PEEP. Fórmula: Vt/(Pplatô-PEEP)</x:v>
      </x:c>
    </x:row>
    <x:row r="20">
      <x:c r="A20" s="56" t="str">
        <x:v>PaO2/FiO2</x:v>
      </x:c>
      <x:c r="B20" s="68" t="str"/>
      <x:c r="C20" s="68" t="str"/>
      <x:c r="D20" s="68" t="str"/>
      <x:c r="E20" s="68" t="str"/>
      <x:c r="F20" s="72" t="str">
        <x:f>IF(OR(NOT(ISNUMBER(B20)),NOT(ISNUMBER(C20)),C20=0),"",B20/C20)</x:f>
      </x:c>
      <x:c r="G20" s="56" t="str">
        <x:v>Entrar B=PaO2; C=FiO2 fração. Fórmula: PaO2/FiO2</x:v>
      </x:c>
    </x:row>
    <x:row r="21">
      <x:c r="A21" s="56" t="str">
        <x:v>Ânion gap</x:v>
      </x:c>
      <x:c r="B21" s="68" t="str"/>
      <x:c r="C21" s="68" t="str"/>
      <x:c r="D21" s="68" t="str"/>
      <x:c r="E21" s="68" t="str"/>
      <x:c r="F21" s="72" t="str">
        <x:f>IF(OR(NOT(ISNUMBER(B21)),NOT(ISNUMBER(C21)),NOT(ISNUMBER(D21))),"",B21-(C21+D21))</x:f>
      </x:c>
      <x:c r="G21" s="56" t="str">
        <x:v>Entrar B=Na; C=Cl; D=HCO3. Fórmula: Na-(Cl+HCO3)</x:v>
      </x:c>
    </x:row>
    <x:row r="22">
      <x:c r="A22" s="56" t="str">
        <x:v>Sódio corrigido glicemia</x:v>
      </x:c>
      <x:c r="B22" s="68" t="str"/>
      <x:c r="C22" s="68" t="str"/>
      <x:c r="D22" s="68" t="str"/>
      <x:c r="E22" s="68" t="str"/>
      <x:c r="F22" s="72" t="str">
        <x:f>IF(OR(NOT(ISNUMBER(B22)),NOT(ISNUMBER(C22))),"",B22+1.6*((C22-100)/100))</x:f>
      </x:c>
      <x:c r="G22" s="56" t="str">
        <x:v>Entrar B=Na; C=Glicose. Fórmula: Na + 1,6*((Glicose-100)/100)</x:v>
      </x:c>
    </x:row>
    <x:row r="25">
      <x:c r="A25" s="24" t="str">
        <x:v>Problema</x:v>
      </x:c>
      <x:c r="B25" s="24" t="str">
        <x:v>Checar primeiro</x:v>
      </x:c>
      <x:c r="C25" s="24" t="str">
        <x:v>Ajustes possíveis</x:v>
      </x:c>
      <x:c r="D25" s="24" t="str">
        <x:v>Armadilhas</x:v>
      </x:c>
    </x:row>
    <x:row r="26">
      <x:c r="A26" s="56" t="str">
        <x:v>Hipoxemia</x:v>
      </x:c>
      <x:c r="B26" s="56" t="str">
        <x:v>Tubo, circuito, secreção, Rx/USG, PEEP/FiO2</x:v>
      </x:c>
      <x:c r="C26" s="56" t="str">
        <x:v>↑FiO2 agudo; otimizar PEEP; recrutamento/prona se SDRA</x:v>
      </x:c>
      <x:c r="D26" s="56" t="str">
        <x:v>Não subir PEEP em hipovolemia/VD sem avaliar.</x:v>
      </x:c>
    </x:row>
    <x:row r="27">
      <x:c r="A27" s="56" t="str">
        <x:v>Hipercapnia</x:v>
      </x:c>
      <x:c r="B27" s="56" t="str">
        <x:v>Auto-PEEP, Vt, FR, espaço morto, broncoespasmo</x:v>
      </x:c>
      <x:c r="C27" s="56" t="str">
        <x:v>↑FR se expiração permite; ↑Pinsp/Vt dentro limite; tratar broncoespasmo</x:v>
      </x:c>
      <x:c r="D27" s="56" t="str">
        <x:v>FR alta pode piorar retenção em DPOC.</x:v>
      </x:c>
    </x:row>
    <x:row r="28">
      <x:c r="A28" s="56" t="str">
        <x:v>Acidose metabólica</x:v>
      </x:c>
      <x:c r="B28" s="56" t="str">
        <x:v>Lactato, choque, rim, cetose, drogas</x:v>
      </x:c>
      <x:c r="C28" s="56" t="str">
        <x:v>Tratar causa; ventilação compensatória; bicarbonato em cenários selecionados</x:v>
      </x:c>
      <x:c r="D28" s="56" t="str">
        <x:v>Não 'corrigir número' sem causa.</x:v>
      </x:c>
    </x:row>
    <x:row r="29">
      <x:c r="A29" s="56" t="str">
        <x:v>Auto-PEEP/DPOC</x:v>
      </x:c>
      <x:c r="B29" s="56" t="str">
        <x:v>Fluxo expiratório não zera, hiperinsuflação, Pplatô</x:v>
      </x:c>
      <x:c r="C29" s="56" t="str">
        <x:v>↓FR, ↓Vt, ↑fluxo, ↓Ti, broncodilatador, sedação</x:v>
      </x:c>
      <x:c r="D29" s="56" t="str">
        <x:v>PEEP externa excessiva pode piorar aprisionamento.</x:v>
      </x:c>
    </x:row>
    <x:row r="30">
      <x:c r="A30" s="56" t="str">
        <x:v>SDRA</x:v>
      </x:c>
      <x:c r="B30" s="56" t="str">
        <x:v>PaO2/FiO2, infiltrado, causa</x:v>
      </x:c>
      <x:c r="C30" s="56" t="str">
        <x:v>Vt 4–6 mL/kg PBW, Pplatô &lt;30, DP baixa, prona se grave</x:v>
      </x:c>
      <x:c r="D30" s="56" t="str">
        <x:v>Evitar Vt alto mesmo com pH baixo leve.</x:v>
      </x:c>
    </x:row>
  </x:sheetData>
  <x:mergeCells>
    <x:mergeCell ref="A1:L1"/>
    <x:mergeCell ref="A2:L2"/>
  </x:mergeCells>
  <x:pageMargins left="0.7" right="0.7" top="0.75" bottom="0.75" header="0.3" footer="0.3"/>
  <x:tableParts count="3">
    <x:tablePart xmlns:r="http://schemas.openxmlformats.org/officeDocument/2006/relationships" r:id="Rb85aa6db29134ffc"/>
    <x:tablePart xmlns:r="http://schemas.openxmlformats.org/officeDocument/2006/relationships" r:id="R2f14a47d19e641e0"/>
    <x:tablePart xmlns:r="http://schemas.openxmlformats.org/officeDocument/2006/relationships" r:id="R6e031bf876a440bf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38" hidden="0" customWidth="1"/>
    <x:col min="5" max="5" width="30" hidden="0" customWidth="1"/>
  </x:cols>
  <x:sheetData>
    <x:row r="1" ht="30" customHeight="1">
      <x:c r="A1" s="76" t="str">
        <x:v>SEPSE E CHOQUE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Bundle de sepse/choque e mapa mental para reavaliação hemodinâmica.</x:v>
      </x:c>
    </x:row>
    <x:row r="4">
      <x:c r="A4" s="24" t="str">
        <x:v>Etapa</x:v>
      </x:c>
      <x:c r="B4" s="24" t="str">
        <x:v>Ação</x:v>
      </x:c>
      <x:c r="C4" s="24" t="str">
        <x:v>Meta/observação</x:v>
      </x:c>
      <x:c r="D4" s="24" t="str">
        <x:v>Tempo</x:v>
      </x:c>
      <x:c r="E4" s="24" t="str">
        <x:v>Alertas</x:v>
      </x:c>
    </x:row>
    <x:row r="5">
      <x:c r="A5" s="56" t="str">
        <x:v>Suspeita</x:v>
      </x:c>
      <x:c r="B5" s="56" t="str">
        <x:v>Reconhecer infecção + disfunção orgânica</x:v>
      </x:c>
      <x:c r="C5" s="56" t="str">
        <x:v>SOFA/qSOFA ajudam triagem; julgamento clínico manda</x:v>
      </x:c>
      <x:c r="D5" s="56" t="str">
        <x:v>Imediato</x:v>
      </x:c>
      <x:c r="E5" s="56" t="str">
        <x:v>Não atrasar em choque.</x:v>
      </x:c>
    </x:row>
    <x:row r="6">
      <x:c r="A6" s="56" t="str">
        <x:v>Lactato</x:v>
      </x:c>
      <x:c r="B6" s="56" t="str">
        <x:v>Dosar lactato inicial</x:v>
      </x:c>
      <x:c r="C6" s="56" t="str">
        <x:v>Repetir se elevado conforme protocolo</x:v>
      </x:c>
      <x:c r="D6" s="56" t="str">
        <x:v>Inicial</x:v>
      </x:c>
      <x:c r="E6" s="56" t="str">
        <x:v>Lactato não é só hipóxia.</x:v>
      </x:c>
    </x:row>
    <x:row r="7">
      <x:c r="A7" s="56" t="str">
        <x:v>Culturas</x:v>
      </x:c>
      <x:c r="B7" s="56" t="str">
        <x:v>Coletar hemoculturas e culturas do foco</x:v>
      </x:c>
      <x:c r="C7" s="56" t="str">
        <x:v>Antes do ATB se não atrasar</x:v>
      </x:c>
      <x:c r="D7" s="56" t="str">
        <x:v>Antes ATB</x:v>
      </x:c>
      <x:c r="E7" s="56" t="str">
        <x:v>Não atrasar ATB em choque.</x:v>
      </x:c>
    </x:row>
    <x:row r="8">
      <x:c r="A8" s="56" t="str">
        <x:v>Antibiótico</x:v>
      </x:c>
      <x:c r="B8" s="56" t="str">
        <x:v>Iniciar terapia empírica adequada</x:v>
      </x:c>
      <x:c r="C8" s="56" t="str">
        <x:v>Mais precoce em choque/suspeita alta</x:v>
      </x:c>
      <x:c r="D8" s="56" t="str">
        <x:v>Ideal primeira hora em choque</x:v>
      </x:c>
      <x:c r="E8" s="56" t="str">
        <x:v>Reavaliar descalonamento.</x:v>
      </x:c>
    </x:row>
    <x:row r="9">
      <x:c r="A9" s="56" t="str">
        <x:v>Volume</x:v>
      </x:c>
      <x:c r="B9" s="56" t="str">
        <x:v>Cristaloide se hipoperfusão</x:v>
      </x:c>
      <x:c r="C9" s="56" t="str">
        <x:v>Reavaliar responsividade</x:v>
      </x:c>
      <x:c r="D9" s="56" t="str">
        <x:v>Primeiras horas</x:v>
      </x:c>
      <x:c r="E9" s="56" t="str">
        <x:v>Evitar excesso após fase inicial.</x:v>
      </x:c>
    </x:row>
    <x:row r="10">
      <x:c r="A10" s="56" t="str">
        <x:v>Vasopressor</x:v>
      </x:c>
      <x:c r="B10" s="56" t="str">
        <x:v>Noradrenalina 1ª linha</x:v>
      </x:c>
      <x:c r="C10" s="56" t="str">
        <x:v>PAM alvo geralmente ≥65 mmHg</x:v>
      </x:c>
      <x:c r="D10" s="56" t="str">
        <x:v>Se hipotensão persiste</x:v>
      </x:c>
      <x:c r="E10" s="56" t="str">
        <x:v>CVC preferível, mas não atrasar resgate.</x:v>
      </x:c>
    </x:row>
    <x:row r="11">
      <x:c r="A11" s="56" t="str">
        <x:v>Vasopressina</x:v>
      </x:c>
      <x:c r="B11" s="56" t="str">
        <x:v>Adicionar se NORA elevada</x:v>
      </x:c>
      <x:c r="C11" s="56" t="str">
        <x:v>Reduzir catecolamina</x:v>
      </x:c>
      <x:c r="D11" s="56" t="str">
        <x:v>Choque refratário</x:v>
      </x:c>
      <x:c r="E11" s="56" t="str">
        <x:v>Isquemia.</x:v>
      </x:c>
    </x:row>
    <x:row r="12">
      <x:c r="A12" s="56" t="str">
        <x:v>Corticoide</x:v>
      </x:c>
      <x:c r="B12" s="56" t="str">
        <x:v>Hidrocortisona se choque refratário</x:v>
      </x:c>
      <x:c r="C12" s="56" t="str">
        <x:v>Conforme protocolo</x:v>
      </x:c>
      <x:c r="D12" s="56" t="str">
        <x:v>Após DVA/volume</x:v>
      </x:c>
      <x:c r="E12" s="56" t="str">
        <x:v>Hiperglicemia/infecção.</x:v>
      </x:c>
    </x:row>
    <x:row r="13">
      <x:c r="A13" s="56" t="str">
        <x:v>Foco</x:v>
      </x:c>
      <x:c r="B13" s="56" t="str">
        <x:v>Controle de foco</x:v>
      </x:c>
      <x:c r="C13" s="56" t="str">
        <x:v>Drenar, retirar cateter, cirurgia</x:v>
      </x:c>
      <x:c r="D13" s="56" t="str">
        <x:v>O quanto antes</x:v>
      </x:c>
      <x:c r="E13" s="56" t="str">
        <x:v>Sem foco, choque não resolve.</x:v>
      </x:c>
    </x:row>
    <x:row r="14">
      <x:c r="A14" s="56" t="str">
        <x:v>Reavaliação</x:v>
      </x:c>
      <x:c r="B14" s="56" t="str">
        <x:v>Perfusão, diurese, pele, lactato, ECO/POCUS</x:v>
      </x:c>
      <x:c r="C14" s="56" t="str">
        <x:v>Metas dinâmicas</x:v>
      </x:c>
      <x:c r="D14" s="56" t="str">
        <x:v>Serial</x:v>
      </x:c>
      <x:c r="E14" s="56" t="str">
        <x:v>Choque é filme, não foto.</x:v>
      </x:c>
    </x:row>
    <x:row r="17">
      <x:c r="A17" s="24" t="str">
        <x:v>Fluxo rápido</x:v>
      </x:c>
    </x:row>
    <x:row r="18">
      <x:c r="A18" s="56" t="str">
        <x:v>Suspeita de infecção → disfunção orgânica → lactato/culturas → antibiótico → volume se hipoperfusão → noradrenalina se PAM baixa → controle de foco → reavaliação seriada.</x:v>
      </x:c>
    </x:row>
    <x:row r="20">
      <x:c r="A20" s="24" t="str">
        <x:v>Tipo de choque</x:v>
      </x:c>
      <x:c r="B20" s="24" t="str">
        <x:v>Pistas</x:v>
      </x:c>
      <x:c r="C20" s="24" t="str">
        <x:v>Conduta inicial</x:v>
      </x:c>
      <x:c r="D20" s="24" t="str">
        <x:v>POCUS útil</x:v>
      </x:c>
    </x:row>
    <x:row r="21">
      <x:c r="A21" s="56" t="str">
        <x:v>Séptico/distributivo</x:v>
      </x:c>
      <x:c r="B21" s="56" t="str">
        <x:v>Febre/foco, vasoplegia, lactato</x:v>
      </x:c>
      <x:c r="C21" s="56" t="str">
        <x:v>ATB, volume responsivo, NORA, foco</x:v>
      </x:c>
      <x:c r="D21" s="56" t="str">
        <x:v>VE hiperdinâmico, VCI, pulmão, foco</x:v>
      </x:c>
    </x:row>
    <x:row r="22">
      <x:c r="A22" s="56" t="str">
        <x:v>Cardiogênico</x:v>
      </x:c>
      <x:c r="B22" s="56" t="str">
        <x:v>IC, IAM, congestão, baixa perfusão</x:v>
      </x:c>
      <x:c r="C22" s="56" t="str">
        <x:v>NORA se hipotensão, inotrópico, diurese/reperfusão</x:v>
      </x:c>
      <x:c r="D22" s="56" t="str">
        <x:v>FEVE, VD, VCI, B-lines</x:v>
      </x:c>
    </x:row>
    <x:row r="23">
      <x:c r="A23" s="56" t="str">
        <x:v>Obstrutivo</x:v>
      </x:c>
      <x:c r="B23" s="56" t="str">
        <x:v>TEP, tamponamento, pneumotórax</x:v>
      </x:c>
      <x:c r="C23" s="56" t="str">
        <x:v>Tratar causa imediatamente</x:v>
      </x:c>
      <x:c r="D23" s="56" t="str">
        <x:v>VD, derrame pericárdico, lung point</x:v>
      </x:c>
    </x:row>
    <x:row r="24">
      <x:c r="A24" s="56" t="str">
        <x:v>Hipovolêmico</x:v>
      </x:c>
      <x:c r="B24" s="56" t="str">
        <x:v>Sangramento/perdas, colapso VCI</x:v>
      </x:c>
      <x:c r="C24" s="56" t="str">
        <x:v>Controle perda, hemoderivados/cristaloide</x:v>
      </x:c>
      <x:c r="D24" s="56" t="str">
        <x:v>FAST, VCI, coração pequeno</x:v>
      </x:c>
    </x:row>
  </x:sheetData>
  <x:mergeCells>
    <x:mergeCell ref="A1:J1"/>
    <x:mergeCell ref="A2:J2"/>
  </x:mergeCells>
  <x:pageMargins left="0.7" right="0.7" top="0.75" bottom="0.75" header="0.3" footer="0.3"/>
  <x:tableParts count="3">
    <x:tablePart xmlns:r="http://schemas.openxmlformats.org/officeDocument/2006/relationships" r:id="R92278e6b7b3042eb"/>
    <x:tablePart xmlns:r="http://schemas.openxmlformats.org/officeDocument/2006/relationships" r:id="R5a92564d74874372"/>
    <x:tablePart xmlns:r="http://schemas.openxmlformats.org/officeDocument/2006/relationships" r:id="R979e52fef0864226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4" hidden="0" customWidth="1"/>
    <x:col min="5" max="5" width="14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8" hidden="0" customWidth="1"/>
    <x:col min="17" max="17" width="16" hidden="0" customWidth="1"/>
    <x:col min="18" max="18" width="18" hidden="0" customWidth="1"/>
    <x:col min="19" max="19" width="14" hidden="0" customWidth="1"/>
    <x:col min="20" max="20" width="16" hidden="0" customWidth="1"/>
    <x:col min="21" max="21" width="12" hidden="0" customWidth="1"/>
    <x:col min="22" max="22" width="14" hidden="0" customWidth="1"/>
    <x:col min="23" max="23" width="14" hidden="0" customWidth="1"/>
    <x:col min="24" max="24" width="18" hidden="0" customWidth="1"/>
    <x:col min="25" max="25" width="24" hidden="0" customWidth="1"/>
    <x:col min="26" max="26" width="16" hidden="0" customWidth="1"/>
    <x:col min="27" max="27" width="14" hidden="0" customWidth="1"/>
    <x:col min="28" max="28" width="32" hidden="0" customWidth="1"/>
  </x:cols>
  <x:sheetData>
    <x:row r="1" ht="30" customHeight="1">
      <x:c r="A1" s="76" t="str">
        <x:v>CHECKLIST DIÁRIO UTI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Checklist TDAH-friendly para round: analgesia, sedação, delirium, devices, ATB, nutrição, mobilização e família.</x:v>
      </x:c>
    </x:row>
    <x:row r="4">
      <x:c r="A4" s="24" t="str">
        <x:v>Leito</x:v>
      </x:c>
      <x:c r="B4" s="24" t="str">
        <x:v>Paciente</x:v>
      </x:c>
      <x:c r="C4" s="24" t="str">
        <x:v>Data</x:v>
      </x:c>
      <x:c r="D4" s="24" t="str">
        <x:v>Analgesia?</x:v>
      </x:c>
      <x:c r="E4" s="24" t="str">
        <x:v>Sedação alvo?</x:v>
      </x:c>
      <x:c r="F4" s="24" t="str">
        <x:v>RASS</x:v>
      </x:c>
      <x:c r="G4" s="24" t="str">
        <x:v>CAM-ICU</x:v>
      </x:c>
      <x:c r="H4" s="24" t="str">
        <x:v>Dor controlada?</x:v>
      </x:c>
      <x:c r="I4" s="24" t="str">
        <x:v>Cabeceira &gt;30?</x:v>
      </x:c>
      <x:c r="J4" s="24" t="str">
        <x:v>Profilaxia TEV?</x:v>
      </x:c>
      <x:c r="K4" s="24" t="str">
        <x:v>Profilaxia úlcera?</x:v>
      </x:c>
      <x:c r="L4" s="24" t="str">
        <x:v>Nutrição?</x:v>
      </x:c>
      <x:c r="M4" s="24" t="str">
        <x:v>Glicemia ok?</x:v>
      </x:c>
      <x:c r="N4" s="24" t="str">
        <x:v>Evacuação?</x:v>
      </x:c>
      <x:c r="O4" s="24" t="str">
        <x:v>Pele ok?</x:v>
      </x:c>
      <x:c r="P4" s="24" t="str">
        <x:v>Cateteres indicados?</x:v>
      </x:c>
      <x:c r="Q4" s="24" t="str">
        <x:v>ATB revisado?</x:v>
      </x:c>
      <x:c r="R4" s="24" t="str">
        <x:v>Culturas revisadas?</x:v>
      </x:c>
      <x:c r="S4" s="24" t="str">
        <x:v>Descalonar?</x:v>
      </x:c>
      <x:c r="T4" s="24" t="str">
        <x:v>Despertar diário?</x:v>
      </x:c>
      <x:c r="U4" s="24" t="str">
        <x:v>TRE?</x:v>
      </x:c>
      <x:c r="V4" s="24" t="str">
        <x:v>Fisioterapia?</x:v>
      </x:c>
      <x:c r="W4" s="24" t="str">
        <x:v>Mobilização?</x:v>
      </x:c>
      <x:c r="X4" s="24" t="str">
        <x:v>Família atualizada?</x:v>
      </x:c>
      <x:c r="Y4" s="24" t="str">
        <x:v>Metas do dia?</x:v>
      </x:c>
      <x:c r="Z4" s="24" t="str">
        <x:v>Critérios alta?</x:v>
      </x:c>
      <x:c r="AA4" s="24" t="str">
        <x:v>Completude</x:v>
      </x:c>
      <x:c r="AB4" s="24" t="str">
        <x:v>Observações</x:v>
      </x:c>
    </x:row>
    <x:row r="5">
      <x:c r="A5" s="56" t="str"/>
      <x:c r="B5" s="56" t="str"/>
      <x:c r="C5" s="60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  <x:c r="N5" s="56" t="str"/>
      <x:c r="O5" s="56" t="str"/>
      <x:c r="P5" s="56" t="str"/>
      <x:c r="Q5" s="56" t="str"/>
      <x:c r="R5" s="56" t="str"/>
      <x:c r="S5" s="56" t="str"/>
      <x:c r="T5" s="56" t="str"/>
      <x:c r="U5" s="56" t="str"/>
      <x:c r="V5" s="56" t="str"/>
      <x:c r="W5" s="56" t="str"/>
      <x:c r="X5" s="56" t="str"/>
      <x:c r="Y5" s="56" t="str"/>
      <x:c r="Z5" s="56" t="str"/>
      <x:c r="AA5" s="66" t="str">
        <x:f>IF(A5="","",COUNTIF(D5:Z5,"Sim")/COUNTA(D5:Z5))</x:f>
      </x:c>
      <x:c r="AB5" s="56" t="str"/>
    </x:row>
    <x:row r="6">
      <x:c r="A6" s="56" t="str"/>
      <x:c r="B6" s="56" t="str"/>
      <x:c r="C6" s="60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  <x:c r="N6" s="56" t="str"/>
      <x:c r="O6" s="56" t="str"/>
      <x:c r="P6" s="56" t="str"/>
      <x:c r="Q6" s="56" t="str"/>
      <x:c r="R6" s="56" t="str"/>
      <x:c r="S6" s="56" t="str"/>
      <x:c r="T6" s="56" t="str"/>
      <x:c r="U6" s="56" t="str"/>
      <x:c r="V6" s="56" t="str"/>
      <x:c r="W6" s="56" t="str"/>
      <x:c r="X6" s="56" t="str"/>
      <x:c r="Y6" s="56" t="str"/>
      <x:c r="Z6" s="56" t="str"/>
      <x:c r="AA6" s="66" t="str">
        <x:f>IF(A6="","",COUNTIF(D6:Z6,"Sim")/COUNTA(D6:Z6))</x:f>
      </x:c>
      <x:c r="AB6" s="56" t="str"/>
    </x:row>
    <x:row r="7">
      <x:c r="A7" s="56" t="str"/>
      <x:c r="B7" s="56" t="str"/>
      <x:c r="C7" s="60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56" t="str"/>
      <x:c r="O7" s="56" t="str"/>
      <x:c r="P7" s="56" t="str"/>
      <x:c r="Q7" s="56" t="str"/>
      <x:c r="R7" s="56" t="str"/>
      <x:c r="S7" s="56" t="str"/>
      <x:c r="T7" s="56" t="str"/>
      <x:c r="U7" s="56" t="str"/>
      <x:c r="V7" s="56" t="str"/>
      <x:c r="W7" s="56" t="str"/>
      <x:c r="X7" s="56" t="str"/>
      <x:c r="Y7" s="56" t="str"/>
      <x:c r="Z7" s="56" t="str"/>
      <x:c r="AA7" s="66" t="str">
        <x:f>IF(A7="","",COUNTIF(D7:Z7,"Sim")/COUNTA(D7:Z7))</x:f>
      </x:c>
      <x:c r="AB7" s="56" t="str"/>
    </x:row>
    <x:row r="8">
      <x:c r="A8" s="56" t="str"/>
      <x:c r="B8" s="56" t="str"/>
      <x:c r="C8" s="60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56" t="str"/>
      <x:c r="O8" s="56" t="str"/>
      <x:c r="P8" s="56" t="str"/>
      <x:c r="Q8" s="56" t="str"/>
      <x:c r="R8" s="56" t="str"/>
      <x:c r="S8" s="56" t="str"/>
      <x:c r="T8" s="56" t="str"/>
      <x:c r="U8" s="56" t="str"/>
      <x:c r="V8" s="56" t="str"/>
      <x:c r="W8" s="56" t="str"/>
      <x:c r="X8" s="56" t="str"/>
      <x:c r="Y8" s="56" t="str"/>
      <x:c r="Z8" s="56" t="str"/>
      <x:c r="AA8" s="66" t="str">
        <x:f>IF(A8="","",COUNTIF(D8:Z8,"Sim")/COUNTA(D8:Z8))</x:f>
      </x:c>
      <x:c r="AB8" s="56" t="str"/>
    </x:row>
    <x:row r="9">
      <x:c r="A9" s="56" t="str"/>
      <x:c r="B9" s="56" t="str"/>
      <x:c r="C9" s="60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56" t="str"/>
      <x:c r="O9" s="56" t="str"/>
      <x:c r="P9" s="56" t="str"/>
      <x:c r="Q9" s="56" t="str"/>
      <x:c r="R9" s="56" t="str"/>
      <x:c r="S9" s="56" t="str"/>
      <x:c r="T9" s="56" t="str"/>
      <x:c r="U9" s="56" t="str"/>
      <x:c r="V9" s="56" t="str"/>
      <x:c r="W9" s="56" t="str"/>
      <x:c r="X9" s="56" t="str"/>
      <x:c r="Y9" s="56" t="str"/>
      <x:c r="Z9" s="56" t="str"/>
      <x:c r="AA9" s="66" t="str">
        <x:f>IF(A9="","",COUNTIF(D9:Z9,"Sim")/COUNTA(D9:Z9))</x:f>
      </x:c>
      <x:c r="AB9" s="56" t="str"/>
    </x:row>
    <x:row r="10">
      <x:c r="A10" s="56" t="str"/>
      <x:c r="B10" s="56" t="str"/>
      <x:c r="C10" s="60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56" t="str"/>
      <x:c r="O10" s="56" t="str"/>
      <x:c r="P10" s="56" t="str"/>
      <x:c r="Q10" s="56" t="str"/>
      <x:c r="R10" s="56" t="str"/>
      <x:c r="S10" s="56" t="str"/>
      <x:c r="T10" s="56" t="str"/>
      <x:c r="U10" s="56" t="str"/>
      <x:c r="V10" s="56" t="str"/>
      <x:c r="W10" s="56" t="str"/>
      <x:c r="X10" s="56" t="str"/>
      <x:c r="Y10" s="56" t="str"/>
      <x:c r="Z10" s="56" t="str"/>
      <x:c r="AA10" s="66" t="str">
        <x:f>IF(A10="","",COUNTIF(D10:Z10,"Sim")/COUNTA(D10:Z10))</x:f>
      </x:c>
      <x:c r="AB10" s="56" t="str"/>
    </x:row>
    <x:row r="11">
      <x:c r="A11" s="56" t="str"/>
      <x:c r="B11" s="56" t="str"/>
      <x:c r="C11" s="60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56" t="str"/>
      <x:c r="O11" s="56" t="str"/>
      <x:c r="P11" s="56" t="str"/>
      <x:c r="Q11" s="56" t="str"/>
      <x:c r="R11" s="56" t="str"/>
      <x:c r="S11" s="56" t="str"/>
      <x:c r="T11" s="56" t="str"/>
      <x:c r="U11" s="56" t="str"/>
      <x:c r="V11" s="56" t="str"/>
      <x:c r="W11" s="56" t="str"/>
      <x:c r="X11" s="56" t="str"/>
      <x:c r="Y11" s="56" t="str"/>
      <x:c r="Z11" s="56" t="str"/>
      <x:c r="AA11" s="66" t="str">
        <x:f>IF(A11="","",COUNTIF(D11:Z11,"Sim")/COUNTA(D11:Z11))</x:f>
      </x:c>
      <x:c r="AB11" s="56" t="str"/>
    </x:row>
    <x:row r="12">
      <x:c r="A12" s="56" t="str"/>
      <x:c r="B12" s="56" t="str"/>
      <x:c r="C12" s="60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56" t="str"/>
      <x:c r="O12" s="56" t="str"/>
      <x:c r="P12" s="56" t="str"/>
      <x:c r="Q12" s="56" t="str"/>
      <x:c r="R12" s="56" t="str"/>
      <x:c r="S12" s="56" t="str"/>
      <x:c r="T12" s="56" t="str"/>
      <x:c r="U12" s="56" t="str"/>
      <x:c r="V12" s="56" t="str"/>
      <x:c r="W12" s="56" t="str"/>
      <x:c r="X12" s="56" t="str"/>
      <x:c r="Y12" s="56" t="str"/>
      <x:c r="Z12" s="56" t="str"/>
      <x:c r="AA12" s="66" t="str">
        <x:f>IF(A12="","",COUNTIF(D12:Z12,"Sim")/COUNTA(D12:Z12))</x:f>
      </x:c>
      <x:c r="AB12" s="56" t="str"/>
    </x:row>
    <x:row r="13">
      <x:c r="A13" s="56" t="str"/>
      <x:c r="B13" s="56" t="str"/>
      <x:c r="C13" s="60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6" t="str"/>
      <x:c r="M13" s="56" t="str"/>
      <x:c r="N13" s="56" t="str"/>
      <x:c r="O13" s="56" t="str"/>
      <x:c r="P13" s="56" t="str"/>
      <x:c r="Q13" s="56" t="str"/>
      <x:c r="R13" s="56" t="str"/>
      <x:c r="S13" s="56" t="str"/>
      <x:c r="T13" s="56" t="str"/>
      <x:c r="U13" s="56" t="str"/>
      <x:c r="V13" s="56" t="str"/>
      <x:c r="W13" s="56" t="str"/>
      <x:c r="X13" s="56" t="str"/>
      <x:c r="Y13" s="56" t="str"/>
      <x:c r="Z13" s="56" t="str"/>
      <x:c r="AA13" s="66" t="str">
        <x:f>IF(A13="","",COUNTIF(D13:Z13,"Sim")/COUNTA(D13:Z13))</x:f>
      </x:c>
      <x:c r="AB13" s="56" t="str"/>
    </x:row>
    <x:row r="14">
      <x:c r="A14" s="56" t="str"/>
      <x:c r="B14" s="56" t="str"/>
      <x:c r="C14" s="60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6" t="str"/>
      <x:c r="M14" s="56" t="str"/>
      <x:c r="N14" s="56" t="str"/>
      <x:c r="O14" s="56" t="str"/>
      <x:c r="P14" s="56" t="str"/>
      <x:c r="Q14" s="56" t="str"/>
      <x:c r="R14" s="56" t="str"/>
      <x:c r="S14" s="56" t="str"/>
      <x:c r="T14" s="56" t="str"/>
      <x:c r="U14" s="56" t="str"/>
      <x:c r="V14" s="56" t="str"/>
      <x:c r="W14" s="56" t="str"/>
      <x:c r="X14" s="56" t="str"/>
      <x:c r="Y14" s="56" t="str"/>
      <x:c r="Z14" s="56" t="str"/>
      <x:c r="AA14" s="66" t="str">
        <x:f>IF(A14="","",COUNTIF(D14:Z14,"Sim")/COUNTA(D14:Z14))</x:f>
      </x:c>
      <x:c r="AB14" s="56" t="str"/>
    </x:row>
    <x:row r="15">
      <x:c r="A15" s="56" t="str"/>
      <x:c r="B15" s="56" t="str"/>
      <x:c r="C15" s="60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6" t="str"/>
      <x:c r="M15" s="56" t="str"/>
      <x:c r="N15" s="56" t="str"/>
      <x:c r="O15" s="56" t="str"/>
      <x:c r="P15" s="56" t="str"/>
      <x:c r="Q15" s="56" t="str"/>
      <x:c r="R15" s="56" t="str"/>
      <x:c r="S15" s="56" t="str"/>
      <x:c r="T15" s="56" t="str"/>
      <x:c r="U15" s="56" t="str"/>
      <x:c r="V15" s="56" t="str"/>
      <x:c r="W15" s="56" t="str"/>
      <x:c r="X15" s="56" t="str"/>
      <x:c r="Y15" s="56" t="str"/>
      <x:c r="Z15" s="56" t="str"/>
      <x:c r="AA15" s="66" t="str">
        <x:f>IF(A15="","",COUNTIF(D15:Z15,"Sim")/COUNTA(D15:Z15))</x:f>
      </x:c>
      <x:c r="AB15" s="56" t="str"/>
    </x:row>
    <x:row r="16">
      <x:c r="A16" s="56" t="str"/>
      <x:c r="B16" s="56" t="str"/>
      <x:c r="C16" s="60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6" t="str"/>
      <x:c r="M16" s="56" t="str"/>
      <x:c r="N16" s="56" t="str"/>
      <x:c r="O16" s="56" t="str"/>
      <x:c r="P16" s="56" t="str"/>
      <x:c r="Q16" s="56" t="str"/>
      <x:c r="R16" s="56" t="str"/>
      <x:c r="S16" s="56" t="str"/>
      <x:c r="T16" s="56" t="str"/>
      <x:c r="U16" s="56" t="str"/>
      <x:c r="V16" s="56" t="str"/>
      <x:c r="W16" s="56" t="str"/>
      <x:c r="X16" s="56" t="str"/>
      <x:c r="Y16" s="56" t="str"/>
      <x:c r="Z16" s="56" t="str"/>
      <x:c r="AA16" s="66" t="str">
        <x:f>IF(A16="","",COUNTIF(D16:Z16,"Sim")/COUNTA(D16:Z16))</x:f>
      </x:c>
      <x:c r="AB16" s="56" t="str"/>
    </x:row>
    <x:row r="17">
      <x:c r="A17" s="56" t="str"/>
      <x:c r="B17" s="56" t="str"/>
      <x:c r="C17" s="60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6" t="str"/>
      <x:c r="M17" s="56" t="str"/>
      <x:c r="N17" s="56" t="str"/>
      <x:c r="O17" s="56" t="str"/>
      <x:c r="P17" s="56" t="str"/>
      <x:c r="Q17" s="56" t="str"/>
      <x:c r="R17" s="56" t="str"/>
      <x:c r="S17" s="56" t="str"/>
      <x:c r="T17" s="56" t="str"/>
      <x:c r="U17" s="56" t="str"/>
      <x:c r="V17" s="56" t="str"/>
      <x:c r="W17" s="56" t="str"/>
      <x:c r="X17" s="56" t="str"/>
      <x:c r="Y17" s="56" t="str"/>
      <x:c r="Z17" s="56" t="str"/>
      <x:c r="AA17" s="66" t="str">
        <x:f>IF(A17="","",COUNTIF(D17:Z17,"Sim")/COUNTA(D17:Z17))</x:f>
      </x:c>
      <x:c r="AB17" s="56" t="str"/>
    </x:row>
    <x:row r="18">
      <x:c r="A18" s="56" t="str"/>
      <x:c r="B18" s="56" t="str"/>
      <x:c r="C18" s="60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56" t="str"/>
      <x:c r="L18" s="56" t="str"/>
      <x:c r="M18" s="56" t="str"/>
      <x:c r="N18" s="56" t="str"/>
      <x:c r="O18" s="56" t="str"/>
      <x:c r="P18" s="56" t="str"/>
      <x:c r="Q18" s="56" t="str"/>
      <x:c r="R18" s="56" t="str"/>
      <x:c r="S18" s="56" t="str"/>
      <x:c r="T18" s="56" t="str"/>
      <x:c r="U18" s="56" t="str"/>
      <x:c r="V18" s="56" t="str"/>
      <x:c r="W18" s="56" t="str"/>
      <x:c r="X18" s="56" t="str"/>
      <x:c r="Y18" s="56" t="str"/>
      <x:c r="Z18" s="56" t="str"/>
      <x:c r="AA18" s="66" t="str">
        <x:f>IF(A18="","",COUNTIF(D18:Z18,"Sim")/COUNTA(D18:Z18))</x:f>
      </x:c>
      <x:c r="AB18" s="56" t="str"/>
    </x:row>
    <x:row r="19">
      <x:c r="A19" s="56" t="str"/>
      <x:c r="B19" s="56" t="str"/>
      <x:c r="C19" s="60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56" t="str"/>
      <x:c r="L19" s="56" t="str"/>
      <x:c r="M19" s="56" t="str"/>
      <x:c r="N19" s="56" t="str"/>
      <x:c r="O19" s="56" t="str"/>
      <x:c r="P19" s="56" t="str"/>
      <x:c r="Q19" s="56" t="str"/>
      <x:c r="R19" s="56" t="str"/>
      <x:c r="S19" s="56" t="str"/>
      <x:c r="T19" s="56" t="str"/>
      <x:c r="U19" s="56" t="str"/>
      <x:c r="V19" s="56" t="str"/>
      <x:c r="W19" s="56" t="str"/>
      <x:c r="X19" s="56" t="str"/>
      <x:c r="Y19" s="56" t="str"/>
      <x:c r="Z19" s="56" t="str"/>
      <x:c r="AA19" s="66" t="str">
        <x:f>IF(A19="","",COUNTIF(D19:Z19,"Sim")/COUNTA(D19:Z19))</x:f>
      </x:c>
      <x:c r="AB19" s="56" t="str"/>
    </x:row>
    <x:row r="20">
      <x:c r="A20" s="56" t="str"/>
      <x:c r="B20" s="56" t="str"/>
      <x:c r="C20" s="60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56" t="str"/>
      <x:c r="L20" s="56" t="str"/>
      <x:c r="M20" s="56" t="str"/>
      <x:c r="N20" s="56" t="str"/>
      <x:c r="O20" s="56" t="str"/>
      <x:c r="P20" s="56" t="str"/>
      <x:c r="Q20" s="56" t="str"/>
      <x:c r="R20" s="56" t="str"/>
      <x:c r="S20" s="56" t="str"/>
      <x:c r="T20" s="56" t="str"/>
      <x:c r="U20" s="56" t="str"/>
      <x:c r="V20" s="56" t="str"/>
      <x:c r="W20" s="56" t="str"/>
      <x:c r="X20" s="56" t="str"/>
      <x:c r="Y20" s="56" t="str"/>
      <x:c r="Z20" s="56" t="str"/>
      <x:c r="AA20" s="66" t="str">
        <x:f>IF(A20="","",COUNTIF(D20:Z20,"Sim")/COUNTA(D20:Z20))</x:f>
      </x:c>
      <x:c r="AB20" s="56" t="str"/>
    </x:row>
    <x:row r="21">
      <x:c r="A21" s="56" t="str"/>
      <x:c r="B21" s="56" t="str"/>
      <x:c r="C21" s="60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56" t="str"/>
      <x:c r="L21" s="56" t="str"/>
      <x:c r="M21" s="56" t="str"/>
      <x:c r="N21" s="56" t="str"/>
      <x:c r="O21" s="56" t="str"/>
      <x:c r="P21" s="56" t="str"/>
      <x:c r="Q21" s="56" t="str"/>
      <x:c r="R21" s="56" t="str"/>
      <x:c r="S21" s="56" t="str"/>
      <x:c r="T21" s="56" t="str"/>
      <x:c r="U21" s="56" t="str"/>
      <x:c r="V21" s="56" t="str"/>
      <x:c r="W21" s="56" t="str"/>
      <x:c r="X21" s="56" t="str"/>
      <x:c r="Y21" s="56" t="str"/>
      <x:c r="Z21" s="56" t="str"/>
      <x:c r="AA21" s="66" t="str">
        <x:f>IF(A21="","",COUNTIF(D21:Z21,"Sim")/COUNTA(D21:Z21))</x:f>
      </x:c>
      <x:c r="AB21" s="56" t="str"/>
    </x:row>
    <x:row r="22">
      <x:c r="A22" s="56" t="str"/>
      <x:c r="B22" s="56" t="str"/>
      <x:c r="C22" s="60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56" t="str"/>
      <x:c r="L22" s="56" t="str"/>
      <x:c r="M22" s="56" t="str"/>
      <x:c r="N22" s="56" t="str"/>
      <x:c r="O22" s="56" t="str"/>
      <x:c r="P22" s="56" t="str"/>
      <x:c r="Q22" s="56" t="str"/>
      <x:c r="R22" s="56" t="str"/>
      <x:c r="S22" s="56" t="str"/>
      <x:c r="T22" s="56" t="str"/>
      <x:c r="U22" s="56" t="str"/>
      <x:c r="V22" s="56" t="str"/>
      <x:c r="W22" s="56" t="str"/>
      <x:c r="X22" s="56" t="str"/>
      <x:c r="Y22" s="56" t="str"/>
      <x:c r="Z22" s="56" t="str"/>
      <x:c r="AA22" s="66" t="str">
        <x:f>IF(A22="","",COUNTIF(D22:Z22,"Sim")/COUNTA(D22:Z22))</x:f>
      </x:c>
      <x:c r="AB22" s="56" t="str"/>
    </x:row>
    <x:row r="23">
      <x:c r="A23" s="56" t="str"/>
      <x:c r="B23" s="56" t="str"/>
      <x:c r="C23" s="60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56" t="str"/>
      <x:c r="L23" s="56" t="str"/>
      <x:c r="M23" s="56" t="str"/>
      <x:c r="N23" s="56" t="str"/>
      <x:c r="O23" s="56" t="str"/>
      <x:c r="P23" s="56" t="str"/>
      <x:c r="Q23" s="56" t="str"/>
      <x:c r="R23" s="56" t="str"/>
      <x:c r="S23" s="56" t="str"/>
      <x:c r="T23" s="56" t="str"/>
      <x:c r="U23" s="56" t="str"/>
      <x:c r="V23" s="56" t="str"/>
      <x:c r="W23" s="56" t="str"/>
      <x:c r="X23" s="56" t="str"/>
      <x:c r="Y23" s="56" t="str"/>
      <x:c r="Z23" s="56" t="str"/>
      <x:c r="AA23" s="66" t="str">
        <x:f>IF(A23="","",COUNTIF(D23:Z23,"Sim")/COUNTA(D23:Z23))</x:f>
      </x:c>
      <x:c r="AB23" s="56" t="str"/>
    </x:row>
    <x:row r="24">
      <x:c r="A24" s="56" t="str"/>
      <x:c r="B24" s="56" t="str"/>
      <x:c r="C24" s="60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56" t="str"/>
      <x:c r="L24" s="56" t="str"/>
      <x:c r="M24" s="56" t="str"/>
      <x:c r="N24" s="56" t="str"/>
      <x:c r="O24" s="56" t="str"/>
      <x:c r="P24" s="56" t="str"/>
      <x:c r="Q24" s="56" t="str"/>
      <x:c r="R24" s="56" t="str"/>
      <x:c r="S24" s="56" t="str"/>
      <x:c r="T24" s="56" t="str"/>
      <x:c r="U24" s="56" t="str"/>
      <x:c r="V24" s="56" t="str"/>
      <x:c r="W24" s="56" t="str"/>
      <x:c r="X24" s="56" t="str"/>
      <x:c r="Y24" s="56" t="str"/>
      <x:c r="Z24" s="56" t="str"/>
      <x:c r="AA24" s="66" t="str">
        <x:f>IF(A24="","",COUNTIF(D24:Z24,"Sim")/COUNTA(D24:Z24))</x:f>
      </x:c>
      <x:c r="AB24" s="56" t="str"/>
    </x:row>
    <x:row r="25">
      <x:c r="A25" s="56" t="str"/>
      <x:c r="B25" s="56" t="str"/>
      <x:c r="C25" s="60" t="str"/>
      <x:c r="D25" s="56" t="str"/>
      <x:c r="E25" s="56" t="str"/>
      <x:c r="F25" s="56" t="str"/>
      <x:c r="G25" s="56" t="str"/>
      <x:c r="H25" s="56" t="str"/>
      <x:c r="I25" s="56" t="str"/>
      <x:c r="J25" s="56" t="str"/>
      <x:c r="K25" s="56" t="str"/>
      <x:c r="L25" s="56" t="str"/>
      <x:c r="M25" s="56" t="str"/>
      <x:c r="N25" s="56" t="str"/>
      <x:c r="O25" s="56" t="str"/>
      <x:c r="P25" s="56" t="str"/>
      <x:c r="Q25" s="56" t="str"/>
      <x:c r="R25" s="56" t="str"/>
      <x:c r="S25" s="56" t="str"/>
      <x:c r="T25" s="56" t="str"/>
      <x:c r="U25" s="56" t="str"/>
      <x:c r="V25" s="56" t="str"/>
      <x:c r="W25" s="56" t="str"/>
      <x:c r="X25" s="56" t="str"/>
      <x:c r="Y25" s="56" t="str"/>
      <x:c r="Z25" s="56" t="str"/>
      <x:c r="AA25" s="66" t="str">
        <x:f>IF(A25="","",COUNTIF(D25:Z25,"Sim")/COUNTA(D25:Z25))</x:f>
      </x:c>
      <x:c r="AB25" s="56" t="str"/>
    </x:row>
    <x:row r="26">
      <x:c r="A26" s="56" t="str"/>
      <x:c r="B26" s="56" t="str"/>
      <x:c r="C26" s="60" t="str"/>
      <x:c r="D26" s="56" t="str"/>
      <x:c r="E26" s="56" t="str"/>
      <x:c r="F26" s="56" t="str"/>
      <x:c r="G26" s="56" t="str"/>
      <x:c r="H26" s="56" t="str"/>
      <x:c r="I26" s="56" t="str"/>
      <x:c r="J26" s="56" t="str"/>
      <x:c r="K26" s="56" t="str"/>
      <x:c r="L26" s="56" t="str"/>
      <x:c r="M26" s="56" t="str"/>
      <x:c r="N26" s="56" t="str"/>
      <x:c r="O26" s="56" t="str"/>
      <x:c r="P26" s="56" t="str"/>
      <x:c r="Q26" s="56" t="str"/>
      <x:c r="R26" s="56" t="str"/>
      <x:c r="S26" s="56" t="str"/>
      <x:c r="T26" s="56" t="str"/>
      <x:c r="U26" s="56" t="str"/>
      <x:c r="V26" s="56" t="str"/>
      <x:c r="W26" s="56" t="str"/>
      <x:c r="X26" s="56" t="str"/>
      <x:c r="Y26" s="56" t="str"/>
      <x:c r="Z26" s="56" t="str"/>
      <x:c r="AA26" s="66" t="str">
        <x:f>IF(A26="","",COUNTIF(D26:Z26,"Sim")/COUNTA(D26:Z26))</x:f>
      </x:c>
      <x:c r="AB26" s="56" t="str"/>
    </x:row>
    <x:row r="27">
      <x:c r="A27" s="56" t="str"/>
      <x:c r="B27" s="56" t="str"/>
      <x:c r="C27" s="60" t="str"/>
      <x:c r="D27" s="56" t="str"/>
      <x:c r="E27" s="56" t="str"/>
      <x:c r="F27" s="56" t="str"/>
      <x:c r="G27" s="56" t="str"/>
      <x:c r="H27" s="56" t="str"/>
      <x:c r="I27" s="56" t="str"/>
      <x:c r="J27" s="56" t="str"/>
      <x:c r="K27" s="56" t="str"/>
      <x:c r="L27" s="56" t="str"/>
      <x:c r="M27" s="56" t="str"/>
      <x:c r="N27" s="56" t="str"/>
      <x:c r="O27" s="56" t="str"/>
      <x:c r="P27" s="56" t="str"/>
      <x:c r="Q27" s="56" t="str"/>
      <x:c r="R27" s="56" t="str"/>
      <x:c r="S27" s="56" t="str"/>
      <x:c r="T27" s="56" t="str"/>
      <x:c r="U27" s="56" t="str"/>
      <x:c r="V27" s="56" t="str"/>
      <x:c r="W27" s="56" t="str"/>
      <x:c r="X27" s="56" t="str"/>
      <x:c r="Y27" s="56" t="str"/>
      <x:c r="Z27" s="56" t="str"/>
      <x:c r="AA27" s="66" t="str">
        <x:f>IF(A27="","",COUNTIF(D27:Z27,"Sim")/COUNTA(D27:Z27))</x:f>
      </x:c>
      <x:c r="AB27" s="56" t="str"/>
    </x:row>
    <x:row r="28">
      <x:c r="A28" s="56" t="str"/>
      <x:c r="B28" s="56" t="str"/>
      <x:c r="C28" s="60" t="str"/>
      <x:c r="D28" s="56" t="str"/>
      <x:c r="E28" s="56" t="str"/>
      <x:c r="F28" s="56" t="str"/>
      <x:c r="G28" s="56" t="str"/>
      <x:c r="H28" s="56" t="str"/>
      <x:c r="I28" s="56" t="str"/>
      <x:c r="J28" s="56" t="str"/>
      <x:c r="K28" s="56" t="str"/>
      <x:c r="L28" s="56" t="str"/>
      <x:c r="M28" s="56" t="str"/>
      <x:c r="N28" s="56" t="str"/>
      <x:c r="O28" s="56" t="str"/>
      <x:c r="P28" s="56" t="str"/>
      <x:c r="Q28" s="56" t="str"/>
      <x:c r="R28" s="56" t="str"/>
      <x:c r="S28" s="56" t="str"/>
      <x:c r="T28" s="56" t="str"/>
      <x:c r="U28" s="56" t="str"/>
      <x:c r="V28" s="56" t="str"/>
      <x:c r="W28" s="56" t="str"/>
      <x:c r="X28" s="56" t="str"/>
      <x:c r="Y28" s="56" t="str"/>
      <x:c r="Z28" s="56" t="str"/>
      <x:c r="AA28" s="66" t="str">
        <x:f>IF(A28="","",COUNTIF(D28:Z28,"Sim")/COUNTA(D28:Z28))</x:f>
      </x:c>
      <x:c r="AB28" s="56" t="str"/>
    </x:row>
    <x:row r="29">
      <x:c r="A29" s="56" t="str"/>
      <x:c r="B29" s="56" t="str"/>
      <x:c r="C29" s="60" t="str"/>
      <x:c r="D29" s="56" t="str"/>
      <x:c r="E29" s="56" t="str"/>
      <x:c r="F29" s="56" t="str"/>
      <x:c r="G29" s="56" t="str"/>
      <x:c r="H29" s="56" t="str"/>
      <x:c r="I29" s="56" t="str"/>
      <x:c r="J29" s="56" t="str"/>
      <x:c r="K29" s="56" t="str"/>
      <x:c r="L29" s="56" t="str"/>
      <x:c r="M29" s="56" t="str"/>
      <x:c r="N29" s="56" t="str"/>
      <x:c r="O29" s="56" t="str"/>
      <x:c r="P29" s="56" t="str"/>
      <x:c r="Q29" s="56" t="str"/>
      <x:c r="R29" s="56" t="str"/>
      <x:c r="S29" s="56" t="str"/>
      <x:c r="T29" s="56" t="str"/>
      <x:c r="U29" s="56" t="str"/>
      <x:c r="V29" s="56" t="str"/>
      <x:c r="W29" s="56" t="str"/>
      <x:c r="X29" s="56" t="str"/>
      <x:c r="Y29" s="56" t="str"/>
      <x:c r="Z29" s="56" t="str"/>
      <x:c r="AA29" s="66" t="str">
        <x:f>IF(A29="","",COUNTIF(D29:Z29,"Sim")/COUNTA(D29:Z29))</x:f>
      </x:c>
      <x:c r="AB29" s="56" t="str"/>
    </x:row>
    <x:row r="30">
      <x:c r="A30" s="56" t="str"/>
      <x:c r="B30" s="56" t="str"/>
      <x:c r="C30" s="60" t="str"/>
      <x:c r="D30" s="56" t="str"/>
      <x:c r="E30" s="56" t="str"/>
      <x:c r="F30" s="56" t="str"/>
      <x:c r="G30" s="56" t="str"/>
      <x:c r="H30" s="56" t="str"/>
      <x:c r="I30" s="56" t="str"/>
      <x:c r="J30" s="56" t="str"/>
      <x:c r="K30" s="56" t="str"/>
      <x:c r="L30" s="56" t="str"/>
      <x:c r="M30" s="56" t="str"/>
      <x:c r="N30" s="56" t="str"/>
      <x:c r="O30" s="56" t="str"/>
      <x:c r="P30" s="56" t="str"/>
      <x:c r="Q30" s="56" t="str"/>
      <x:c r="R30" s="56" t="str"/>
      <x:c r="S30" s="56" t="str"/>
      <x:c r="T30" s="56" t="str"/>
      <x:c r="U30" s="56" t="str"/>
      <x:c r="V30" s="56" t="str"/>
      <x:c r="W30" s="56" t="str"/>
      <x:c r="X30" s="56" t="str"/>
      <x:c r="Y30" s="56" t="str"/>
      <x:c r="Z30" s="56" t="str"/>
      <x:c r="AA30" s="66" t="str">
        <x:f>IF(A30="","",COUNTIF(D30:Z30,"Sim")/COUNTA(D30:Z30))</x:f>
      </x:c>
      <x:c r="AB30" s="56" t="str"/>
    </x:row>
    <x:row r="31">
      <x:c r="A31" s="56" t="str"/>
      <x:c r="B31" s="56" t="str"/>
      <x:c r="C31" s="60" t="str"/>
      <x:c r="D31" s="56" t="str"/>
      <x:c r="E31" s="56" t="str"/>
      <x:c r="F31" s="56" t="str"/>
      <x:c r="G31" s="56" t="str"/>
      <x:c r="H31" s="56" t="str"/>
      <x:c r="I31" s="56" t="str"/>
      <x:c r="J31" s="56" t="str"/>
      <x:c r="K31" s="56" t="str"/>
      <x:c r="L31" s="56" t="str"/>
      <x:c r="M31" s="56" t="str"/>
      <x:c r="N31" s="56" t="str"/>
      <x:c r="O31" s="56" t="str"/>
      <x:c r="P31" s="56" t="str"/>
      <x:c r="Q31" s="56" t="str"/>
      <x:c r="R31" s="56" t="str"/>
      <x:c r="S31" s="56" t="str"/>
      <x:c r="T31" s="56" t="str"/>
      <x:c r="U31" s="56" t="str"/>
      <x:c r="V31" s="56" t="str"/>
      <x:c r="W31" s="56" t="str"/>
      <x:c r="X31" s="56" t="str"/>
      <x:c r="Y31" s="56" t="str"/>
      <x:c r="Z31" s="56" t="str"/>
      <x:c r="AA31" s="66" t="str">
        <x:f>IF(A31="","",COUNTIF(D31:Z31,"Sim")/COUNTA(D31:Z31))</x:f>
      </x:c>
      <x:c r="AB31" s="56" t="str"/>
    </x:row>
    <x:row r="32">
      <x:c r="A32" s="56" t="str"/>
      <x:c r="B32" s="56" t="str"/>
      <x:c r="C32" s="60" t="str"/>
      <x:c r="D32" s="56" t="str"/>
      <x:c r="E32" s="56" t="str"/>
      <x:c r="F32" s="56" t="str"/>
      <x:c r="G32" s="56" t="str"/>
      <x:c r="H32" s="56" t="str"/>
      <x:c r="I32" s="56" t="str"/>
      <x:c r="J32" s="56" t="str"/>
      <x:c r="K32" s="56" t="str"/>
      <x:c r="L32" s="56" t="str"/>
      <x:c r="M32" s="56" t="str"/>
      <x:c r="N32" s="56" t="str"/>
      <x:c r="O32" s="56" t="str"/>
      <x:c r="P32" s="56" t="str"/>
      <x:c r="Q32" s="56" t="str"/>
      <x:c r="R32" s="56" t="str"/>
      <x:c r="S32" s="56" t="str"/>
      <x:c r="T32" s="56" t="str"/>
      <x:c r="U32" s="56" t="str"/>
      <x:c r="V32" s="56" t="str"/>
      <x:c r="W32" s="56" t="str"/>
      <x:c r="X32" s="56" t="str"/>
      <x:c r="Y32" s="56" t="str"/>
      <x:c r="Z32" s="56" t="str"/>
      <x:c r="AA32" s="66" t="str">
        <x:f>IF(A32="","",COUNTIF(D32:Z32,"Sim")/COUNTA(D32:Z32))</x:f>
      </x:c>
      <x:c r="AB32" s="56" t="str"/>
    </x:row>
    <x:row r="33">
      <x:c r="A33" s="56" t="str"/>
      <x:c r="B33" s="56" t="str"/>
      <x:c r="C33" s="60" t="str"/>
      <x:c r="D33" s="56" t="str"/>
      <x:c r="E33" s="56" t="str"/>
      <x:c r="F33" s="56" t="str"/>
      <x:c r="G33" s="56" t="str"/>
      <x:c r="H33" s="56" t="str"/>
      <x:c r="I33" s="56" t="str"/>
      <x:c r="J33" s="56" t="str"/>
      <x:c r="K33" s="56" t="str"/>
      <x:c r="L33" s="56" t="str"/>
      <x:c r="M33" s="56" t="str"/>
      <x:c r="N33" s="56" t="str"/>
      <x:c r="O33" s="56" t="str"/>
      <x:c r="P33" s="56" t="str"/>
      <x:c r="Q33" s="56" t="str"/>
      <x:c r="R33" s="56" t="str"/>
      <x:c r="S33" s="56" t="str"/>
      <x:c r="T33" s="56" t="str"/>
      <x:c r="U33" s="56" t="str"/>
      <x:c r="V33" s="56" t="str"/>
      <x:c r="W33" s="56" t="str"/>
      <x:c r="X33" s="56" t="str"/>
      <x:c r="Y33" s="56" t="str"/>
      <x:c r="Z33" s="56" t="str"/>
      <x:c r="AA33" s="66" t="str">
        <x:f>IF(A33="","",COUNTIF(D33:Z33,"Sim")/COUNTA(D33:Z33))</x:f>
      </x:c>
      <x:c r="AB33" s="56" t="str"/>
    </x:row>
    <x:row r="34">
      <x:c r="A34" s="56" t="str"/>
      <x:c r="B34" s="56" t="str"/>
      <x:c r="C34" s="60" t="str"/>
      <x:c r="D34" s="56" t="str"/>
      <x:c r="E34" s="56" t="str"/>
      <x:c r="F34" s="56" t="str"/>
      <x:c r="G34" s="56" t="str"/>
      <x:c r="H34" s="56" t="str"/>
      <x:c r="I34" s="56" t="str"/>
      <x:c r="J34" s="56" t="str"/>
      <x:c r="K34" s="56" t="str"/>
      <x:c r="L34" s="56" t="str"/>
      <x:c r="M34" s="56" t="str"/>
      <x:c r="N34" s="56" t="str"/>
      <x:c r="O34" s="56" t="str"/>
      <x:c r="P34" s="56" t="str"/>
      <x:c r="Q34" s="56" t="str"/>
      <x:c r="R34" s="56" t="str"/>
      <x:c r="S34" s="56" t="str"/>
      <x:c r="T34" s="56" t="str"/>
      <x:c r="U34" s="56" t="str"/>
      <x:c r="V34" s="56" t="str"/>
      <x:c r="W34" s="56" t="str"/>
      <x:c r="X34" s="56" t="str"/>
      <x:c r="Y34" s="56" t="str"/>
      <x:c r="Z34" s="56" t="str"/>
      <x:c r="AA34" s="66" t="str">
        <x:f>IF(A34="","",COUNTIF(D34:Z34,"Sim")/COUNTA(D34:Z34))</x:f>
      </x:c>
      <x:c r="AB34" s="56" t="str"/>
    </x:row>
    <x:row r="35">
      <x:c r="A35" s="56" t="str"/>
      <x:c r="B35" s="56" t="str"/>
      <x:c r="C35" s="60" t="str"/>
      <x:c r="D35" s="56" t="str"/>
      <x:c r="E35" s="56" t="str"/>
      <x:c r="F35" s="56" t="str"/>
      <x:c r="G35" s="56" t="str"/>
      <x:c r="H35" s="56" t="str"/>
      <x:c r="I35" s="56" t="str"/>
      <x:c r="J35" s="56" t="str"/>
      <x:c r="K35" s="56" t="str"/>
      <x:c r="L35" s="56" t="str"/>
      <x:c r="M35" s="56" t="str"/>
      <x:c r="N35" s="56" t="str"/>
      <x:c r="O35" s="56" t="str"/>
      <x:c r="P35" s="56" t="str"/>
      <x:c r="Q35" s="56" t="str"/>
      <x:c r="R35" s="56" t="str"/>
      <x:c r="S35" s="56" t="str"/>
      <x:c r="T35" s="56" t="str"/>
      <x:c r="U35" s="56" t="str"/>
      <x:c r="V35" s="56" t="str"/>
      <x:c r="W35" s="56" t="str"/>
      <x:c r="X35" s="56" t="str"/>
      <x:c r="Y35" s="56" t="str"/>
      <x:c r="Z35" s="56" t="str"/>
      <x:c r="AA35" s="66" t="str">
        <x:f>IF(A35="","",COUNTIF(D35:Z35,"Sim")/COUNTA(D35:Z35))</x:f>
      </x:c>
      <x:c r="AB35" s="56" t="str"/>
    </x:row>
    <x:row r="36">
      <x:c r="A36" s="56" t="str"/>
      <x:c r="B36" s="56" t="str"/>
      <x:c r="C36" s="60" t="str"/>
      <x:c r="D36" s="56" t="str"/>
      <x:c r="E36" s="56" t="str"/>
      <x:c r="F36" s="56" t="str"/>
      <x:c r="G36" s="56" t="str"/>
      <x:c r="H36" s="56" t="str"/>
      <x:c r="I36" s="56" t="str"/>
      <x:c r="J36" s="56" t="str"/>
      <x:c r="K36" s="56" t="str"/>
      <x:c r="L36" s="56" t="str"/>
      <x:c r="M36" s="56" t="str"/>
      <x:c r="N36" s="56" t="str"/>
      <x:c r="O36" s="56" t="str"/>
      <x:c r="P36" s="56" t="str"/>
      <x:c r="Q36" s="56" t="str"/>
      <x:c r="R36" s="56" t="str"/>
      <x:c r="S36" s="56" t="str"/>
      <x:c r="T36" s="56" t="str"/>
      <x:c r="U36" s="56" t="str"/>
      <x:c r="V36" s="56" t="str"/>
      <x:c r="W36" s="56" t="str"/>
      <x:c r="X36" s="56" t="str"/>
      <x:c r="Y36" s="56" t="str"/>
      <x:c r="Z36" s="56" t="str"/>
      <x:c r="AA36" s="66" t="str">
        <x:f>IF(A36="","",COUNTIF(D36:Z36,"Sim")/COUNTA(D36:Z36))</x:f>
      </x:c>
      <x:c r="AB36" s="56" t="str"/>
    </x:row>
    <x:row r="37">
      <x:c r="A37" s="56" t="str"/>
      <x:c r="B37" s="56" t="str"/>
      <x:c r="C37" s="60" t="str"/>
      <x:c r="D37" s="56" t="str"/>
      <x:c r="E37" s="56" t="str"/>
      <x:c r="F37" s="56" t="str"/>
      <x:c r="G37" s="56" t="str"/>
      <x:c r="H37" s="56" t="str"/>
      <x:c r="I37" s="56" t="str"/>
      <x:c r="J37" s="56" t="str"/>
      <x:c r="K37" s="56" t="str"/>
      <x:c r="L37" s="56" t="str"/>
      <x:c r="M37" s="56" t="str"/>
      <x:c r="N37" s="56" t="str"/>
      <x:c r="O37" s="56" t="str"/>
      <x:c r="P37" s="56" t="str"/>
      <x:c r="Q37" s="56" t="str"/>
      <x:c r="R37" s="56" t="str"/>
      <x:c r="S37" s="56" t="str"/>
      <x:c r="T37" s="56" t="str"/>
      <x:c r="U37" s="56" t="str"/>
      <x:c r="V37" s="56" t="str"/>
      <x:c r="W37" s="56" t="str"/>
      <x:c r="X37" s="56" t="str"/>
      <x:c r="Y37" s="56" t="str"/>
      <x:c r="Z37" s="56" t="str"/>
      <x:c r="AA37" s="66" t="str">
        <x:f>IF(A37="","",COUNTIF(D37:Z37,"Sim")/COUNTA(D37:Z37))</x:f>
      </x:c>
      <x:c r="AB37" s="56" t="str"/>
    </x:row>
    <x:row r="38">
      <x:c r="A38" s="56" t="str"/>
      <x:c r="B38" s="56" t="str"/>
      <x:c r="C38" s="60" t="str"/>
      <x:c r="D38" s="56" t="str"/>
      <x:c r="E38" s="56" t="str"/>
      <x:c r="F38" s="56" t="str"/>
      <x:c r="G38" s="56" t="str"/>
      <x:c r="H38" s="56" t="str"/>
      <x:c r="I38" s="56" t="str"/>
      <x:c r="J38" s="56" t="str"/>
      <x:c r="K38" s="56" t="str"/>
      <x:c r="L38" s="56" t="str"/>
      <x:c r="M38" s="56" t="str"/>
      <x:c r="N38" s="56" t="str"/>
      <x:c r="O38" s="56" t="str"/>
      <x:c r="P38" s="56" t="str"/>
      <x:c r="Q38" s="56" t="str"/>
      <x:c r="R38" s="56" t="str"/>
      <x:c r="S38" s="56" t="str"/>
      <x:c r="T38" s="56" t="str"/>
      <x:c r="U38" s="56" t="str"/>
      <x:c r="V38" s="56" t="str"/>
      <x:c r="W38" s="56" t="str"/>
      <x:c r="X38" s="56" t="str"/>
      <x:c r="Y38" s="56" t="str"/>
      <x:c r="Z38" s="56" t="str"/>
      <x:c r="AA38" s="66" t="str">
        <x:f>IF(A38="","",COUNTIF(D38:Z38,"Sim")/COUNTA(D38:Z38))</x:f>
      </x:c>
      <x:c r="AB38" s="56" t="str"/>
    </x:row>
    <x:row r="39">
      <x:c r="A39" s="56" t="str"/>
      <x:c r="B39" s="56" t="str"/>
      <x:c r="C39" s="60" t="str"/>
      <x:c r="D39" s="56" t="str"/>
      <x:c r="E39" s="56" t="str"/>
      <x:c r="F39" s="56" t="str"/>
      <x:c r="G39" s="56" t="str"/>
      <x:c r="H39" s="56" t="str"/>
      <x:c r="I39" s="56" t="str"/>
      <x:c r="J39" s="56" t="str"/>
      <x:c r="K39" s="56" t="str"/>
      <x:c r="L39" s="56" t="str"/>
      <x:c r="M39" s="56" t="str"/>
      <x:c r="N39" s="56" t="str"/>
      <x:c r="O39" s="56" t="str"/>
      <x:c r="P39" s="56" t="str"/>
      <x:c r="Q39" s="56" t="str"/>
      <x:c r="R39" s="56" t="str"/>
      <x:c r="S39" s="56" t="str"/>
      <x:c r="T39" s="56" t="str"/>
      <x:c r="U39" s="56" t="str"/>
      <x:c r="V39" s="56" t="str"/>
      <x:c r="W39" s="56" t="str"/>
      <x:c r="X39" s="56" t="str"/>
      <x:c r="Y39" s="56" t="str"/>
      <x:c r="Z39" s="56" t="str"/>
      <x:c r="AA39" s="66" t="str">
        <x:f>IF(A39="","",COUNTIF(D39:Z39,"Sim")/COUNTA(D39:Z39))</x:f>
      </x:c>
      <x:c r="AB39" s="56" t="str"/>
    </x:row>
    <x:row r="40">
      <x:c r="A40" s="56" t="str"/>
      <x:c r="B40" s="56" t="str"/>
      <x:c r="C40" s="60" t="str"/>
      <x:c r="D40" s="56" t="str"/>
      <x:c r="E40" s="56" t="str"/>
      <x:c r="F40" s="56" t="str"/>
      <x:c r="G40" s="56" t="str"/>
      <x:c r="H40" s="56" t="str"/>
      <x:c r="I40" s="56" t="str"/>
      <x:c r="J40" s="56" t="str"/>
      <x:c r="K40" s="56" t="str"/>
      <x:c r="L40" s="56" t="str"/>
      <x:c r="M40" s="56" t="str"/>
      <x:c r="N40" s="56" t="str"/>
      <x:c r="O40" s="56" t="str"/>
      <x:c r="P40" s="56" t="str"/>
      <x:c r="Q40" s="56" t="str"/>
      <x:c r="R40" s="56" t="str"/>
      <x:c r="S40" s="56" t="str"/>
      <x:c r="T40" s="56" t="str"/>
      <x:c r="U40" s="56" t="str"/>
      <x:c r="V40" s="56" t="str"/>
      <x:c r="W40" s="56" t="str"/>
      <x:c r="X40" s="56" t="str"/>
      <x:c r="Y40" s="56" t="str"/>
      <x:c r="Z40" s="56" t="str"/>
      <x:c r="AA40" s="66" t="str">
        <x:f>IF(A40="","",COUNTIF(D40:Z40,"Sim")/COUNTA(D40:Z40))</x:f>
      </x:c>
      <x:c r="AB40" s="56" t="str"/>
    </x:row>
    <x:row r="41">
      <x:c r="A41" s="56" t="str"/>
      <x:c r="B41" s="56" t="str"/>
      <x:c r="C41" s="60" t="str"/>
      <x:c r="D41" s="56" t="str"/>
      <x:c r="E41" s="56" t="str"/>
      <x:c r="F41" s="56" t="str"/>
      <x:c r="G41" s="56" t="str"/>
      <x:c r="H41" s="56" t="str"/>
      <x:c r="I41" s="56" t="str"/>
      <x:c r="J41" s="56" t="str"/>
      <x:c r="K41" s="56" t="str"/>
      <x:c r="L41" s="56" t="str"/>
      <x:c r="M41" s="56" t="str"/>
      <x:c r="N41" s="56" t="str"/>
      <x:c r="O41" s="56" t="str"/>
      <x:c r="P41" s="56" t="str"/>
      <x:c r="Q41" s="56" t="str"/>
      <x:c r="R41" s="56" t="str"/>
      <x:c r="S41" s="56" t="str"/>
      <x:c r="T41" s="56" t="str"/>
      <x:c r="U41" s="56" t="str"/>
      <x:c r="V41" s="56" t="str"/>
      <x:c r="W41" s="56" t="str"/>
      <x:c r="X41" s="56" t="str"/>
      <x:c r="Y41" s="56" t="str"/>
      <x:c r="Z41" s="56" t="str"/>
      <x:c r="AA41" s="66" t="str">
        <x:f>IF(A41="","",COUNTIF(D41:Z41,"Sim")/COUNTA(D41:Z41))</x:f>
      </x:c>
      <x:c r="AB41" s="56" t="str"/>
    </x:row>
    <x:row r="42">
      <x:c r="A42" s="56" t="str"/>
      <x:c r="B42" s="56" t="str"/>
      <x:c r="C42" s="60" t="str"/>
      <x:c r="D42" s="56" t="str"/>
      <x:c r="E42" s="56" t="str"/>
      <x:c r="F42" s="56" t="str"/>
      <x:c r="G42" s="56" t="str"/>
      <x:c r="H42" s="56" t="str"/>
      <x:c r="I42" s="56" t="str"/>
      <x:c r="J42" s="56" t="str"/>
      <x:c r="K42" s="56" t="str"/>
      <x:c r="L42" s="56" t="str"/>
      <x:c r="M42" s="56" t="str"/>
      <x:c r="N42" s="56" t="str"/>
      <x:c r="O42" s="56" t="str"/>
      <x:c r="P42" s="56" t="str"/>
      <x:c r="Q42" s="56" t="str"/>
      <x:c r="R42" s="56" t="str"/>
      <x:c r="S42" s="56" t="str"/>
      <x:c r="T42" s="56" t="str"/>
      <x:c r="U42" s="56" t="str"/>
      <x:c r="V42" s="56" t="str"/>
      <x:c r="W42" s="56" t="str"/>
      <x:c r="X42" s="56" t="str"/>
      <x:c r="Y42" s="56" t="str"/>
      <x:c r="Z42" s="56" t="str"/>
      <x:c r="AA42" s="66" t="str">
        <x:f>IF(A42="","",COUNTIF(D42:Z42,"Sim")/COUNTA(D42:Z42))</x:f>
      </x:c>
      <x:c r="AB42" s="56" t="str"/>
    </x:row>
    <x:row r="43">
      <x:c r="A43" s="56" t="str"/>
      <x:c r="B43" s="56" t="str"/>
      <x:c r="C43" s="60" t="str"/>
      <x:c r="D43" s="56" t="str"/>
      <x:c r="E43" s="56" t="str"/>
      <x:c r="F43" s="56" t="str"/>
      <x:c r="G43" s="56" t="str"/>
      <x:c r="H43" s="56" t="str"/>
      <x:c r="I43" s="56" t="str"/>
      <x:c r="J43" s="56" t="str"/>
      <x:c r="K43" s="56" t="str"/>
      <x:c r="L43" s="56" t="str"/>
      <x:c r="M43" s="56" t="str"/>
      <x:c r="N43" s="56" t="str"/>
      <x:c r="O43" s="56" t="str"/>
      <x:c r="P43" s="56" t="str"/>
      <x:c r="Q43" s="56" t="str"/>
      <x:c r="R43" s="56" t="str"/>
      <x:c r="S43" s="56" t="str"/>
      <x:c r="T43" s="56" t="str"/>
      <x:c r="U43" s="56" t="str"/>
      <x:c r="V43" s="56" t="str"/>
      <x:c r="W43" s="56" t="str"/>
      <x:c r="X43" s="56" t="str"/>
      <x:c r="Y43" s="56" t="str"/>
      <x:c r="Z43" s="56" t="str"/>
      <x:c r="AA43" s="66" t="str">
        <x:f>IF(A43="","",COUNTIF(D43:Z43,"Sim")/COUNTA(D43:Z43))</x:f>
      </x:c>
      <x:c r="AB43" s="56" t="str"/>
    </x:row>
    <x:row r="44">
      <x:c r="A44" s="56" t="str"/>
      <x:c r="B44" s="56" t="str"/>
      <x:c r="C44" s="60" t="str"/>
      <x:c r="D44" s="56" t="str"/>
      <x:c r="E44" s="56" t="str"/>
      <x:c r="F44" s="56" t="str"/>
      <x:c r="G44" s="56" t="str"/>
      <x:c r="H44" s="56" t="str"/>
      <x:c r="I44" s="56" t="str"/>
      <x:c r="J44" s="56" t="str"/>
      <x:c r="K44" s="56" t="str"/>
      <x:c r="L44" s="56" t="str"/>
      <x:c r="M44" s="56" t="str"/>
      <x:c r="N44" s="56" t="str"/>
      <x:c r="O44" s="56" t="str"/>
      <x:c r="P44" s="56" t="str"/>
      <x:c r="Q44" s="56" t="str"/>
      <x:c r="R44" s="56" t="str"/>
      <x:c r="S44" s="56" t="str"/>
      <x:c r="T44" s="56" t="str"/>
      <x:c r="U44" s="56" t="str"/>
      <x:c r="V44" s="56" t="str"/>
      <x:c r="W44" s="56" t="str"/>
      <x:c r="X44" s="56" t="str"/>
      <x:c r="Y44" s="56" t="str"/>
      <x:c r="Z44" s="56" t="str"/>
      <x:c r="AA44" s="66" t="str">
        <x:f>IF(A44="","",COUNTIF(D44:Z44,"Sim")/COUNTA(D44:Z44))</x:f>
      </x:c>
      <x:c r="AB44" s="56" t="str"/>
    </x:row>
    <x:row r="45">
      <x:c r="A45" s="56" t="str"/>
      <x:c r="B45" s="56" t="str"/>
      <x:c r="C45" s="60" t="str"/>
      <x:c r="D45" s="56" t="str"/>
      <x:c r="E45" s="56" t="str"/>
      <x:c r="F45" s="56" t="str"/>
      <x:c r="G45" s="56" t="str"/>
      <x:c r="H45" s="56" t="str"/>
      <x:c r="I45" s="56" t="str"/>
      <x:c r="J45" s="56" t="str"/>
      <x:c r="K45" s="56" t="str"/>
      <x:c r="L45" s="56" t="str"/>
      <x:c r="M45" s="56" t="str"/>
      <x:c r="N45" s="56" t="str"/>
      <x:c r="O45" s="56" t="str"/>
      <x:c r="P45" s="56" t="str"/>
      <x:c r="Q45" s="56" t="str"/>
      <x:c r="R45" s="56" t="str"/>
      <x:c r="S45" s="56" t="str"/>
      <x:c r="T45" s="56" t="str"/>
      <x:c r="U45" s="56" t="str"/>
      <x:c r="V45" s="56" t="str"/>
      <x:c r="W45" s="56" t="str"/>
      <x:c r="X45" s="56" t="str"/>
      <x:c r="Y45" s="56" t="str"/>
      <x:c r="Z45" s="56" t="str"/>
      <x:c r="AA45" s="66" t="str">
        <x:f>IF(A45="","",COUNTIF(D45:Z45,"Sim")/COUNTA(D45:Z45))</x:f>
      </x:c>
      <x:c r="AB45" s="56" t="str"/>
    </x:row>
    <x:row r="46">
      <x:c r="A46" s="56" t="str"/>
      <x:c r="B46" s="56" t="str"/>
      <x:c r="C46" s="60" t="str"/>
      <x:c r="D46" s="56" t="str"/>
      <x:c r="E46" s="56" t="str"/>
      <x:c r="F46" s="56" t="str"/>
      <x:c r="G46" s="56" t="str"/>
      <x:c r="H46" s="56" t="str"/>
      <x:c r="I46" s="56" t="str"/>
      <x:c r="J46" s="56" t="str"/>
      <x:c r="K46" s="56" t="str"/>
      <x:c r="L46" s="56" t="str"/>
      <x:c r="M46" s="56" t="str"/>
      <x:c r="N46" s="56" t="str"/>
      <x:c r="O46" s="56" t="str"/>
      <x:c r="P46" s="56" t="str"/>
      <x:c r="Q46" s="56" t="str"/>
      <x:c r="R46" s="56" t="str"/>
      <x:c r="S46" s="56" t="str"/>
      <x:c r="T46" s="56" t="str"/>
      <x:c r="U46" s="56" t="str"/>
      <x:c r="V46" s="56" t="str"/>
      <x:c r="W46" s="56" t="str"/>
      <x:c r="X46" s="56" t="str"/>
      <x:c r="Y46" s="56" t="str"/>
      <x:c r="Z46" s="56" t="str"/>
      <x:c r="AA46" s="66" t="str">
        <x:f>IF(A46="","",COUNTIF(D46:Z46,"Sim")/COUNTA(D46:Z46))</x:f>
      </x:c>
      <x:c r="AB46" s="56" t="str"/>
    </x:row>
    <x:row r="47">
      <x:c r="A47" s="56" t="str"/>
      <x:c r="B47" s="56" t="str"/>
      <x:c r="C47" s="60" t="str"/>
      <x:c r="D47" s="56" t="str"/>
      <x:c r="E47" s="56" t="str"/>
      <x:c r="F47" s="56" t="str"/>
      <x:c r="G47" s="56" t="str"/>
      <x:c r="H47" s="56" t="str"/>
      <x:c r="I47" s="56" t="str"/>
      <x:c r="J47" s="56" t="str"/>
      <x:c r="K47" s="56" t="str"/>
      <x:c r="L47" s="56" t="str"/>
      <x:c r="M47" s="56" t="str"/>
      <x:c r="N47" s="56" t="str"/>
      <x:c r="O47" s="56" t="str"/>
      <x:c r="P47" s="56" t="str"/>
      <x:c r="Q47" s="56" t="str"/>
      <x:c r="R47" s="56" t="str"/>
      <x:c r="S47" s="56" t="str"/>
      <x:c r="T47" s="56" t="str"/>
      <x:c r="U47" s="56" t="str"/>
      <x:c r="V47" s="56" t="str"/>
      <x:c r="W47" s="56" t="str"/>
      <x:c r="X47" s="56" t="str"/>
      <x:c r="Y47" s="56" t="str"/>
      <x:c r="Z47" s="56" t="str"/>
      <x:c r="AA47" s="66" t="str">
        <x:f>IF(A47="","",COUNTIF(D47:Z47,"Sim")/COUNTA(D47:Z47))</x:f>
      </x:c>
      <x:c r="AB47" s="56" t="str"/>
    </x:row>
    <x:row r="48">
      <x:c r="A48" s="56" t="str"/>
      <x:c r="B48" s="56" t="str"/>
      <x:c r="C48" s="60" t="str"/>
      <x:c r="D48" s="56" t="str"/>
      <x:c r="E48" s="56" t="str"/>
      <x:c r="F48" s="56" t="str"/>
      <x:c r="G48" s="56" t="str"/>
      <x:c r="H48" s="56" t="str"/>
      <x:c r="I48" s="56" t="str"/>
      <x:c r="J48" s="56" t="str"/>
      <x:c r="K48" s="56" t="str"/>
      <x:c r="L48" s="56" t="str"/>
      <x:c r="M48" s="56" t="str"/>
      <x:c r="N48" s="56" t="str"/>
      <x:c r="O48" s="56" t="str"/>
      <x:c r="P48" s="56" t="str"/>
      <x:c r="Q48" s="56" t="str"/>
      <x:c r="R48" s="56" t="str"/>
      <x:c r="S48" s="56" t="str"/>
      <x:c r="T48" s="56" t="str"/>
      <x:c r="U48" s="56" t="str"/>
      <x:c r="V48" s="56" t="str"/>
      <x:c r="W48" s="56" t="str"/>
      <x:c r="X48" s="56" t="str"/>
      <x:c r="Y48" s="56" t="str"/>
      <x:c r="Z48" s="56" t="str"/>
      <x:c r="AA48" s="66" t="str">
        <x:f>IF(A48="","",COUNTIF(D48:Z48,"Sim")/COUNTA(D48:Z48))</x:f>
      </x:c>
      <x:c r="AB48" s="56" t="str"/>
    </x:row>
    <x:row r="49">
      <x:c r="A49" s="56" t="str"/>
      <x:c r="B49" s="56" t="str"/>
      <x:c r="C49" s="60" t="str"/>
      <x:c r="D49" s="56" t="str"/>
      <x:c r="E49" s="56" t="str"/>
      <x:c r="F49" s="56" t="str"/>
      <x:c r="G49" s="56" t="str"/>
      <x:c r="H49" s="56" t="str"/>
      <x:c r="I49" s="56" t="str"/>
      <x:c r="J49" s="56" t="str"/>
      <x:c r="K49" s="56" t="str"/>
      <x:c r="L49" s="56" t="str"/>
      <x:c r="M49" s="56" t="str"/>
      <x:c r="N49" s="56" t="str"/>
      <x:c r="O49" s="56" t="str"/>
      <x:c r="P49" s="56" t="str"/>
      <x:c r="Q49" s="56" t="str"/>
      <x:c r="R49" s="56" t="str"/>
      <x:c r="S49" s="56" t="str"/>
      <x:c r="T49" s="56" t="str"/>
      <x:c r="U49" s="56" t="str"/>
      <x:c r="V49" s="56" t="str"/>
      <x:c r="W49" s="56" t="str"/>
      <x:c r="X49" s="56" t="str"/>
      <x:c r="Y49" s="56" t="str"/>
      <x:c r="Z49" s="56" t="str"/>
      <x:c r="AA49" s="66" t="str">
        <x:f>IF(A49="","",COUNTIF(D49:Z49,"Sim")/COUNTA(D49:Z49))</x:f>
      </x:c>
      <x:c r="AB49" s="56" t="str"/>
    </x:row>
    <x:row r="50">
      <x:c r="A50" s="56" t="str"/>
      <x:c r="B50" s="56" t="str"/>
      <x:c r="C50" s="60" t="str"/>
      <x:c r="D50" s="56" t="str"/>
      <x:c r="E50" s="56" t="str"/>
      <x:c r="F50" s="56" t="str"/>
      <x:c r="G50" s="56" t="str"/>
      <x:c r="H50" s="56" t="str"/>
      <x:c r="I50" s="56" t="str"/>
      <x:c r="J50" s="56" t="str"/>
      <x:c r="K50" s="56" t="str"/>
      <x:c r="L50" s="56" t="str"/>
      <x:c r="M50" s="56" t="str"/>
      <x:c r="N50" s="56" t="str"/>
      <x:c r="O50" s="56" t="str"/>
      <x:c r="P50" s="56" t="str"/>
      <x:c r="Q50" s="56" t="str"/>
      <x:c r="R50" s="56" t="str"/>
      <x:c r="S50" s="56" t="str"/>
      <x:c r="T50" s="56" t="str"/>
      <x:c r="U50" s="56" t="str"/>
      <x:c r="V50" s="56" t="str"/>
      <x:c r="W50" s="56" t="str"/>
      <x:c r="X50" s="56" t="str"/>
      <x:c r="Y50" s="56" t="str"/>
      <x:c r="Z50" s="56" t="str"/>
      <x:c r="AA50" s="66" t="str">
        <x:f>IF(A50="","",COUNTIF(D50:Z50,"Sim")/COUNTA(D50:Z50))</x:f>
      </x:c>
      <x:c r="AB50" s="56" t="str"/>
    </x:row>
    <x:row r="51">
      <x:c r="A51" s="56" t="str"/>
      <x:c r="B51" s="56" t="str"/>
      <x:c r="C51" s="60" t="str"/>
      <x:c r="D51" s="56" t="str"/>
      <x:c r="E51" s="56" t="str"/>
      <x:c r="F51" s="56" t="str"/>
      <x:c r="G51" s="56" t="str"/>
      <x:c r="H51" s="56" t="str"/>
      <x:c r="I51" s="56" t="str"/>
      <x:c r="J51" s="56" t="str"/>
      <x:c r="K51" s="56" t="str"/>
      <x:c r="L51" s="56" t="str"/>
      <x:c r="M51" s="56" t="str"/>
      <x:c r="N51" s="56" t="str"/>
      <x:c r="O51" s="56" t="str"/>
      <x:c r="P51" s="56" t="str"/>
      <x:c r="Q51" s="56" t="str"/>
      <x:c r="R51" s="56" t="str"/>
      <x:c r="S51" s="56" t="str"/>
      <x:c r="T51" s="56" t="str"/>
      <x:c r="U51" s="56" t="str"/>
      <x:c r="V51" s="56" t="str"/>
      <x:c r="W51" s="56" t="str"/>
      <x:c r="X51" s="56" t="str"/>
      <x:c r="Y51" s="56" t="str"/>
      <x:c r="Z51" s="56" t="str"/>
      <x:c r="AA51" s="66" t="str">
        <x:f>IF(A51="","",COUNTIF(D51:Z51,"Sim")/COUNTA(D51:Z51))</x:f>
      </x:c>
      <x:c r="AB51" s="56" t="str"/>
    </x:row>
    <x:row r="52">
      <x:c r="A52" s="56" t="str"/>
      <x:c r="B52" s="56" t="str"/>
      <x:c r="C52" s="60" t="str"/>
      <x:c r="D52" s="56" t="str"/>
      <x:c r="E52" s="56" t="str"/>
      <x:c r="F52" s="56" t="str"/>
      <x:c r="G52" s="56" t="str"/>
      <x:c r="H52" s="56" t="str"/>
      <x:c r="I52" s="56" t="str"/>
      <x:c r="J52" s="56" t="str"/>
      <x:c r="K52" s="56" t="str"/>
      <x:c r="L52" s="56" t="str"/>
      <x:c r="M52" s="56" t="str"/>
      <x:c r="N52" s="56" t="str"/>
      <x:c r="O52" s="56" t="str"/>
      <x:c r="P52" s="56" t="str"/>
      <x:c r="Q52" s="56" t="str"/>
      <x:c r="R52" s="56" t="str"/>
      <x:c r="S52" s="56" t="str"/>
      <x:c r="T52" s="56" t="str"/>
      <x:c r="U52" s="56" t="str"/>
      <x:c r="V52" s="56" t="str"/>
      <x:c r="W52" s="56" t="str"/>
      <x:c r="X52" s="56" t="str"/>
      <x:c r="Y52" s="56" t="str"/>
      <x:c r="Z52" s="56" t="str"/>
      <x:c r="AA52" s="66" t="str">
        <x:f>IF(A52="","",COUNTIF(D52:Z52,"Sim")/COUNTA(D52:Z52))</x:f>
      </x:c>
      <x:c r="AB52" s="56" t="str"/>
    </x:row>
    <x:row r="53">
      <x:c r="A53" s="56" t="str"/>
      <x:c r="B53" s="56" t="str"/>
      <x:c r="C53" s="60" t="str"/>
      <x:c r="D53" s="56" t="str"/>
      <x:c r="E53" s="56" t="str"/>
      <x:c r="F53" s="56" t="str"/>
      <x:c r="G53" s="56" t="str"/>
      <x:c r="H53" s="56" t="str"/>
      <x:c r="I53" s="56" t="str"/>
      <x:c r="J53" s="56" t="str"/>
      <x:c r="K53" s="56" t="str"/>
      <x:c r="L53" s="56" t="str"/>
      <x:c r="M53" s="56" t="str"/>
      <x:c r="N53" s="56" t="str"/>
      <x:c r="O53" s="56" t="str"/>
      <x:c r="P53" s="56" t="str"/>
      <x:c r="Q53" s="56" t="str"/>
      <x:c r="R53" s="56" t="str"/>
      <x:c r="S53" s="56" t="str"/>
      <x:c r="T53" s="56" t="str"/>
      <x:c r="U53" s="56" t="str"/>
      <x:c r="V53" s="56" t="str"/>
      <x:c r="W53" s="56" t="str"/>
      <x:c r="X53" s="56" t="str"/>
      <x:c r="Y53" s="56" t="str"/>
      <x:c r="Z53" s="56" t="str"/>
      <x:c r="AA53" s="66" t="str">
        <x:f>IF(A53="","",COUNTIF(D53:Z53,"Sim")/COUNTA(D53:Z53))</x:f>
      </x:c>
      <x:c r="AB53" s="56" t="str"/>
    </x:row>
    <x:row r="54">
      <x:c r="A54" s="56" t="str"/>
      <x:c r="B54" s="56" t="str"/>
      <x:c r="C54" s="60" t="str"/>
      <x:c r="D54" s="56" t="str"/>
      <x:c r="E54" s="56" t="str"/>
      <x:c r="F54" s="56" t="str"/>
      <x:c r="G54" s="56" t="str"/>
      <x:c r="H54" s="56" t="str"/>
      <x:c r="I54" s="56" t="str"/>
      <x:c r="J54" s="56" t="str"/>
      <x:c r="K54" s="56" t="str"/>
      <x:c r="L54" s="56" t="str"/>
      <x:c r="M54" s="56" t="str"/>
      <x:c r="N54" s="56" t="str"/>
      <x:c r="O54" s="56" t="str"/>
      <x:c r="P54" s="56" t="str"/>
      <x:c r="Q54" s="56" t="str"/>
      <x:c r="R54" s="56" t="str"/>
      <x:c r="S54" s="56" t="str"/>
      <x:c r="T54" s="56" t="str"/>
      <x:c r="U54" s="56" t="str"/>
      <x:c r="V54" s="56" t="str"/>
      <x:c r="W54" s="56" t="str"/>
      <x:c r="X54" s="56" t="str"/>
      <x:c r="Y54" s="56" t="str"/>
      <x:c r="Z54" s="56" t="str"/>
      <x:c r="AA54" s="66" t="str">
        <x:f>IF(A54="","",COUNTIF(D54:Z54,"Sim")/COUNTA(D54:Z54))</x:f>
      </x:c>
      <x:c r="AB54" s="56" t="str"/>
    </x:row>
  </x:sheetData>
  <x:mergeCells>
    <x:mergeCell ref="A1:AB1"/>
    <x:mergeCell ref="A2:AB2"/>
  </x:mergeCells>
  <x:conditionalFormatting sqref="AA5:AA54">
    <x:cfRule type="dataBar" priority="1">
      <x:dataBar>
        <x:cfvo type="min"/>
        <x:cfvo type="max"/>
        <x:color rgb="0F766E"/>
      </x:dataBar>
      <x:extLst>
        <x:ext xmlns:x14="http://schemas.microsoft.com/office/spreadsheetml/2009/9/main" uri="{B025F937-C7B1-47D3-B67F-A62EFF666E3E}">
          <x14:id>{0AF5C38A-6B1A-8882-5CFE-2CED03DB34D2}</x14:id>
        </x:ext>
      </x:extLst>
    </x:cfRule>
    <x:cfRule type="cellIs" dxfId="14" priority="2" operator="lessThan">
      <x:formula>0.75</x:formula>
    </x:cfRule>
  </x:conditionalFormatting>
  <x:dataValidations count="21">
    <x:dataValidation type="list" sqref="D5:E54">
      <x:formula1>"Sim,Não"</x:formula1>
    </x:dataValidation>
    <x:dataValidation type="list" sqref="F5:F54">
      <x:formula1>"-5,-4,-3,-2,-1,0,+1,+2,+3,+4"</x:formula1>
    </x:dataValidation>
    <x:dataValidation type="list" sqref="G5:G54">
      <x:formula1>"Negativo,Positivo,Não avaliado"</x:formula1>
    </x:dataValidation>
    <x:dataValidation type="list" sqref="H5:H54">
      <x:formula1>"Sim,Não"</x:formula1>
    </x:dataValidation>
    <x:dataValidation type="list" sqref="I5:I54">
      <x:formula1>"Sim,Não"</x:formula1>
    </x:dataValidation>
    <x:dataValidation type="list" sqref="J5:J54">
      <x:formula1>"Sim,Não"</x:formula1>
    </x:dataValidation>
    <x:dataValidation type="list" sqref="K5:K54">
      <x:formula1>"Sim,Não"</x:formula1>
    </x:dataValidation>
    <x:dataValidation type="list" sqref="L5:L54">
      <x:formula1>"Sim,Não"</x:formula1>
    </x:dataValidation>
    <x:dataValidation type="list" sqref="M5:M54">
      <x:formula1>"Sim,Não"</x:formula1>
    </x:dataValidation>
    <x:dataValidation type="list" sqref="N5:N54">
      <x:formula1>"Sim,Não"</x:formula1>
    </x:dataValidation>
    <x:dataValidation type="list" sqref="O5:O54">
      <x:formula1>"Sim,Não"</x:formula1>
    </x:dataValidation>
    <x:dataValidation type="list" sqref="P5:P54">
      <x:formula1>"Sim,Não"</x:formula1>
    </x:dataValidation>
    <x:dataValidation type="list" sqref="Q5:Q54">
      <x:formula1>"Sim,Não"</x:formula1>
    </x:dataValidation>
    <x:dataValidation type="list" sqref="R5:R54">
      <x:formula1>"Sim,Não"</x:formula1>
    </x:dataValidation>
    <x:dataValidation type="list" sqref="S5:S54">
      <x:formula1>"Sim,Não"</x:formula1>
    </x:dataValidation>
    <x:dataValidation type="list" sqref="T5:T54">
      <x:formula1>"Sim,Não"</x:formula1>
    </x:dataValidation>
    <x:dataValidation type="list" sqref="U5:U54">
      <x:formula1>"Sim,Não"</x:formula1>
    </x:dataValidation>
    <x:dataValidation type="list" sqref="V5:V54">
      <x:formula1>"Sim,Não"</x:formula1>
    </x:dataValidation>
    <x:dataValidation type="list" sqref="W5:W54">
      <x:formula1>"Sim,Não"</x:formula1>
    </x:dataValidation>
    <x:dataValidation type="list" sqref="X5:X54">
      <x:formula1>"Sim,Não"</x:formula1>
    </x:dataValidation>
    <x:dataValidation type="list" sqref="Z5:Z54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67bd9565eb46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AF5C38A-6B1A-8882-5CFE-2CED03DB34D2}">
            <x14:dataBar gradient="1">
              <x14:cfvo type="min"/>
              <x14:cfvo type="max"/>
              <x14:fillColor rgb="0F766E"/>
            </x14:dataBar>
          </x14:cfRule>
          <xm:sqref>AA5:AA54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56" hidden="0" customWidth="1"/>
  </x:cols>
  <x:sheetData>
    <x:row r="1" ht="30" customHeight="1">
      <x:c r="A1" s="76" t="str">
        <x:v>CALCULADORAS CLÍNICAS DE PLANTÃO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Campos editáveis em azul claro; resultados calculados por fórmulas nativas.</x:v>
      </x:c>
    </x:row>
    <x:row r="4">
      <x:c r="A4" s="24" t="str">
        <x:v>Calculadora</x:v>
      </x:c>
      <x:c r="B4" s="24" t="str">
        <x:v>Valor A</x:v>
      </x:c>
      <x:c r="C4" s="24" t="str">
        <x:v>Valor B</x:v>
      </x:c>
      <x:c r="D4" s="24" t="str">
        <x:v>Valor C</x:v>
      </x:c>
      <x:c r="E4" s="24" t="str">
        <x:v>Valor D</x:v>
      </x:c>
      <x:c r="F4" s="24" t="str">
        <x:v>Valor E</x:v>
      </x:c>
      <x:c r="G4" s="24" t="str">
        <x:v>Resultado</x:v>
      </x:c>
      <x:c r="H4" s="24" t="str">
        <x:v>Unidade</x:v>
      </x:c>
      <x:c r="I4" s="24" t="str">
        <x:v>Observação</x:v>
      </x:c>
    </x:row>
    <x:row r="5">
      <x:c r="A5" s="56" t="str">
        <x:v>IMC</x:v>
      </x:c>
      <x:c r="B5" s="68" t="str"/>
      <x:c r="C5" s="68" t="str"/>
      <x:c r="D5" s="68" t="str"/>
      <x:c r="E5" s="68" t="str"/>
      <x:c r="F5" s="68" t="str"/>
      <x:c r="G5" s="72" t="str">
        <x:f>IF(OR(NOT(ISNUMBER(B5)),NOT(ISNUMBER(C5)),C5=0),"",B5/(C5^2))</x:f>
      </x:c>
      <x:c r="H5" s="56" t="str">
        <x:v>kg/m²</x:v>
      </x:c>
      <x:c r="I5" s="56" t="str">
        <x:v>Valor A=Peso kg; Valor B=Altura m. Fórmula: Peso/altura².</x:v>
      </x:c>
    </x:row>
    <x:row r="6">
      <x:c r="A6" s="56" t="str">
        <x:v>Peso predito</x:v>
      </x:c>
      <x:c r="B6" s="68" t="str"/>
      <x:c r="C6" s="68" t="str"/>
      <x:c r="D6" s="68" t="str"/>
      <x:c r="E6" s="68" t="str"/>
      <x:c r="F6" s="68" t="str"/>
      <x:c r="G6" s="72" t="str">
        <x:f>IF(OR(B6="",NOT(ISNUMBER(C6))),"",IF(B6="Masculino",50+0.91*(C6-152.4),IF(B6="Feminino",45.5+0.91*(C6-152.4),"")))</x:f>
      </x:c>
      <x:c r="H6" s="56" t="str">
        <x:v>kg</x:v>
      </x:c>
      <x:c r="I6" s="56" t="str">
        <x:v>Valor A=Sexo (Masculino/Feminino); Valor B=Altura cm. PBW por ARDSNet.</x:v>
      </x:c>
    </x:row>
    <x:row r="7">
      <x:c r="A7" s="56" t="str">
        <x:v>ClCr Cockcroft-Gault</x:v>
      </x:c>
      <x:c r="B7" s="68" t="str"/>
      <x:c r="C7" s="68" t="str"/>
      <x:c r="D7" s="68" t="str"/>
      <x:c r="E7" s="68" t="str"/>
      <x:c r="F7" s="68" t="str"/>
      <x:c r="G7" s="72" t="str">
        <x:f>IF(OR(NOT(ISNUMBER(B7)),NOT(ISNUMBER(C7)),NOT(ISNUMBER(D7)),D7=0,E7=""),"",((140-B7)*C7)/(72*D7)*IF(E7="Feminino",0.85,1))</x:f>
      </x:c>
      <x:c r="H7" s="56" t="str">
        <x:v>mL/min</x:v>
      </x:c>
      <x:c r="I7" s="56" t="str">
        <x:v>Valor A=Idade; B=Peso kg; C=Creatinina mg/dL; D=Sexo. Cockcroft-Gault.</x:v>
      </x:c>
    </x:row>
    <x:row r="8">
      <x:c r="A8" s="56" t="str">
        <x:v>Ânion gap</x:v>
      </x:c>
      <x:c r="B8" s="68" t="str"/>
      <x:c r="C8" s="68" t="str"/>
      <x:c r="D8" s="68" t="str"/>
      <x:c r="E8" s="68" t="str"/>
      <x:c r="F8" s="68" t="str"/>
      <x:c r="G8" s="72" t="str">
        <x:f>IF(OR(NOT(ISNUMBER(B8)),NOT(ISNUMBER(C8)),NOT(ISNUMBER(D8))),"",B8-(C8+D8))</x:f>
      </x:c>
      <x:c r="H8" s="56" t="str">
        <x:v>mEq/L</x:v>
      </x:c>
      <x:c r="I8" s="56" t="str">
        <x:v>Valor A=Na; B=Cl; C=HCO3. Fórmula: Na-(Cl+HCO3).</x:v>
      </x:c>
    </x:row>
    <x:row r="9">
      <x:c r="A9" s="56" t="str">
        <x:v>Sódio corrigido</x:v>
      </x:c>
      <x:c r="B9" s="68" t="str"/>
      <x:c r="C9" s="68" t="str"/>
      <x:c r="D9" s="68" t="str"/>
      <x:c r="E9" s="68" t="str"/>
      <x:c r="F9" s="68" t="str"/>
      <x:c r="G9" s="72" t="str">
        <x:f>IF(OR(NOT(ISNUMBER(B9)),NOT(ISNUMBER(C9))),"",B9+1.6*((C9-100)/100))</x:f>
      </x:c>
      <x:c r="H9" s="56" t="str">
        <x:v>mEq/L</x:v>
      </x:c>
      <x:c r="I9" s="56" t="str">
        <x:v>Valor A=Na; B=Glicose mg/dL. Fórmula: Na + 1,6*((Glicose-100)/100).</x:v>
      </x:c>
    </x:row>
    <x:row r="10">
      <x:c r="A10" s="56" t="str">
        <x:v>Osmolaridade plasmática</x:v>
      </x:c>
      <x:c r="B10" s="68" t="str"/>
      <x:c r="C10" s="68" t="str"/>
      <x:c r="D10" s="68" t="str"/>
      <x:c r="E10" s="68" t="str"/>
      <x:c r="F10" s="68" t="str"/>
      <x:c r="G10" s="72" t="str">
        <x:f>IF(OR(NOT(ISNUMBER(B10)),NOT(ISNUMBER(C10)),NOT(ISNUMBER(D10))),"",2*B10+C10/18+D10/6)</x:f>
      </x:c>
      <x:c r="H10" s="56" t="str">
        <x:v>mOsm/kg</x:v>
      </x:c>
      <x:c r="I10" s="56" t="str">
        <x:v>Valor A=Na; B=Glicose; C=Ureia. Fórmula: 2Na + glicose/18 + ureia/6.</x:v>
      </x:c>
    </x:row>
    <x:row r="11">
      <x:c r="A11" s="56" t="str">
        <x:v>PaO2/FiO2</x:v>
      </x:c>
      <x:c r="B11" s="68" t="str"/>
      <x:c r="C11" s="68" t="str"/>
      <x:c r="D11" s="68" t="str"/>
      <x:c r="E11" s="68" t="str"/>
      <x:c r="F11" s="68" t="str"/>
      <x:c r="G11" s="72" t="str">
        <x:f>IF(OR(NOT(ISNUMBER(B11)),NOT(ISNUMBER(C11)),C11=0),"",B11/C11)</x:f>
      </x:c>
      <x:c r="H11" s="56" t="str"/>
      <x:c r="I11" s="56" t="str">
        <x:v>Valor A=PaO2; B=FiO2 em fração. Ex: 40% = 0,40.</x:v>
      </x:c>
    </x:row>
    <x:row r="12">
      <x:c r="A12" s="56" t="str">
        <x:v>Driving pressure</x:v>
      </x:c>
      <x:c r="B12" s="68" t="str"/>
      <x:c r="C12" s="68" t="str"/>
      <x:c r="D12" s="68" t="str"/>
      <x:c r="E12" s="68" t="str"/>
      <x:c r="F12" s="68" t="str"/>
      <x:c r="G12" s="72" t="str">
        <x:f>IF(OR(NOT(ISNUMBER(B12)),NOT(ISNUMBER(C12))),"",B12-C12)</x:f>
      </x:c>
      <x:c r="H12" s="56" t="str">
        <x:v>cmH2O</x:v>
      </x:c>
      <x:c r="I12" s="56" t="str">
        <x:v>Valor A=Pplatô; B=PEEP. Fórmula: Pplatô-PEEP.</x:v>
      </x:c>
    </x:row>
    <x:row r="13">
      <x:c r="A13" s="56" t="str">
        <x:v>Complacência estática</x:v>
      </x:c>
      <x:c r="B13" s="68" t="str"/>
      <x:c r="C13" s="68" t="str"/>
      <x:c r="D13" s="68" t="str"/>
      <x:c r="E13" s="68" t="str"/>
      <x:c r="F13" s="68" t="str"/>
      <x:c r="G13" s="72" t="str">
        <x:f>IF(OR(NOT(ISNUMBER(B13)),NOT(ISNUMBER(C13)),NOT(ISNUMBER(D13)),C13=D13),"",B13/(C13-D13))</x:f>
      </x:c>
      <x:c r="H13" s="56" t="str">
        <x:v>mL/cmH2O</x:v>
      </x:c>
      <x:c r="I13" s="56" t="str">
        <x:v>Valor A=Vt mL; B=Pplatô; C=PEEP. Fórmula: Vt/(Pplatô-PEEP).</x:v>
      </x:c>
    </x:row>
    <x:row r="14">
      <x:c r="A14" s="56" t="str">
        <x:v>NORA mcg/kg/min</x:v>
      </x:c>
      <x:c r="B14" s="68" t="str"/>
      <x:c r="C14" s="68" t="str"/>
      <x:c r="D14" s="68" t="str"/>
      <x:c r="E14" s="68" t="str"/>
      <x:c r="F14" s="68" t="str"/>
      <x:c r="G14" s="72" t="str">
        <x:f>IF(OR(NOT(ISNUMBER(B14)),NOT(ISNUMBER(C14)),NOT(ISNUMBER(D14)),NOT(ISNUMBER(E14)),C14=0,E14=0),"",(B14*1000/C14)*D14/60/E14)</x:f>
      </x:c>
      <x:c r="H14" s="56" t="str">
        <x:v>mcg/kg/min</x:v>
      </x:c>
      <x:c r="I14" s="56" t="str">
        <x:v>Valor A=mg na solução; B=volume final mL; C=velocidade mL/h; D=peso kg.</x:v>
      </x:c>
    </x:row>
    <x:row r="15">
      <x:c r="A15" s="56" t="str">
        <x:v>qSOFA</x:v>
      </x:c>
      <x:c r="B15" s="68" t="str"/>
      <x:c r="C15" s="68" t="str"/>
      <x:c r="D15" s="68" t="str"/>
      <x:c r="E15" s="68" t="str"/>
      <x:c r="F15" s="68" t="str"/>
      <x:c r="G15" s="72" t="str">
        <x:f>IF(OR(NOT(ISNUMBER(B15)),NOT(ISNUMBER(C15)),NOT(ISNUMBER(D15))),"",B15+C15+D15)</x:f>
      </x:c>
      <x:c r="H15" s="56" t="str">
        <x:v>pontos</x:v>
      </x:c>
      <x:c r="I15" s="56" t="str">
        <x:v>Valor A=FR≥22?; B=PAS≤100?; C=alteração mental? Use 1=sim, 0=não.</x:v>
      </x:c>
    </x:row>
    <x:row r="16">
      <x:c r="A16" s="56" t="str">
        <x:v>CHA2DS2-VASc</x:v>
      </x:c>
      <x:c r="B16" s="68" t="str"/>
      <x:c r="C16" s="68" t="str"/>
      <x:c r="D16" s="68" t="str"/>
      <x:c r="E16" s="68" t="str"/>
      <x:c r="F16" s="68" t="str"/>
      <x:c r="G16" s="72" t="str">
        <x:f>IF(OR(NOT(ISNUMBER(B16)),NOT(ISNUMBER(C16)),NOT(ISNUMBER(D16)),NOT(ISNUMBER(E16)),NOT(ISNUMBER(F16))),"",B16+C16+2*D16+E16+2*F16)</x:f>
      </x:c>
      <x:c r="H16" s="56" t="str">
        <x:v>parcial</x:v>
      </x:c>
      <x:c r="I16" s="56" t="str">
        <x:v>Valor A=ICC; B=HAS; C=Idade≥75; D=DM; E=AVC/AIT. Use 1/0; idade/AVC valem 2.</x:v>
      </x:c>
    </x:row>
    <x:row r="17">
      <x:c r="A17" s="56" t="str">
        <x:v>HAS-BLED</x:v>
      </x:c>
      <x:c r="B17" s="68" t="str"/>
      <x:c r="C17" s="68" t="str"/>
      <x:c r="D17" s="68" t="str"/>
      <x:c r="E17" s="68" t="str"/>
      <x:c r="F17" s="68" t="str"/>
      <x:c r="G17" s="72" t="str">
        <x:f>IF(OR(NOT(ISNUMBER(B17)),NOT(ISNUMBER(C17)),NOT(ISNUMBER(D17)),NOT(ISNUMBER(E17)),NOT(ISNUMBER(F17))),"",B17+C17+D17+E17+F17)</x:f>
      </x:c>
      <x:c r="H17" s="56" t="str">
        <x:v>parcial</x:v>
      </x:c>
      <x:c r="I17" s="56" t="str">
        <x:v>Valor A=HAS; B=Rim/fígado; C=AVC; D=Sangramento; E=INR lábil. Use 1/0.</x:v>
      </x:c>
    </x:row>
    <x:row r="20">
      <x:c r="A20" s="35" t="str">
        <x:v>Dica nerd 🧠: esta aba funciona como mini-calculadora de plantão. Para FiO2, digite fração: 0,21 / 0,40 / 1,0. Para qSOFA e escores parciais, use 1 = presente e 0 = ausente.</x:v>
      </x:c>
    </x:row>
  </x:sheetData>
  <x:mergeCells>
    <x:mergeCell ref="A1:I1"/>
    <x:mergeCell ref="A2:I2"/>
    <x:mergeCell ref="A20:I22"/>
  </x:mergeCells>
  <x:dataValidations count="2">
    <x:dataValidation type="list" sqref="B6">
      <x:formula1>"Masculino,Feminino"</x:formula1>
    </x:dataValidation>
    <x:dataValidation type="list" sqref="E7">
      <x:formula1>"Masculino,Feminino"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d2b0290e3e497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70" hidden="0" customWidth="1"/>
    <x:col min="4" max="4" width="44" hidden="0" customWidth="1"/>
  </x:cols>
  <x:sheetData>
    <x:row r="1" ht="30" customHeight="1">
      <x:c r="A1" s="76" t="str">
        <x:v>FLUXOGRAMAS RÁPIDOS DE UTI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Algoritmos textuais para consulta rápida. Use como checklist mental; adapte ao contexto clínico.</x:v>
      </x:c>
    </x:row>
    <x:row r="4">
      <x:c r="A4" s="24" t="str">
        <x:v>Tema</x:v>
      </x:c>
      <x:c r="B4" s="24" t="str">
        <x:v>Gatilho</x:v>
      </x:c>
      <x:c r="C4" s="24" t="str">
        <x:v>Sequência prática</x:v>
      </x:c>
      <x:c r="D4" s="24" t="str">
        <x:v>Não esquecer</x:v>
      </x:c>
    </x:row>
    <x:row r="5">
      <x:c r="A5" s="56" t="str">
        <x:v>Choque séptico</x:v>
      </x:c>
      <x:c r="B5" s="56" t="str">
        <x:v>Infecção + hipotensão/lactato</x:v>
      </x:c>
      <x:c r="C5" s="56" t="str">
        <x:v>Culturas/lactato → ATB → volume responsivo → NORA → foco → reavaliar</x:v>
      </x:c>
      <x:c r="D5" s="56" t="str">
        <x:v>PAM, diurese, lactato, pele, POCUS.</x:v>
      </x:c>
    </x:row>
    <x:row r="6">
      <x:c r="A6" s="56" t="str">
        <x:v>Choque cardiogênico</x:v>
      </x:c>
      <x:c r="B6" s="56" t="str">
        <x:v>Hipoperfusão + congestão/baixo débito</x:v>
      </x:c>
      <x:c r="C6" s="56" t="str">
        <x:v>ECG/troponina/ECO → NORA se PAM baixa → inotrópico se baixo débito → tratar causa</x:v>
      </x:c>
      <x:c r="D6" s="56" t="str">
        <x:v>Evitar volume cego.</x:v>
      </x:c>
    </x:row>
    <x:row r="7">
      <x:c r="A7" s="56" t="str">
        <x:v>Choque obstrutivo</x:v>
      </x:c>
      <x:c r="B7" s="56" t="str">
        <x:v>TEP/tamponamento/pneumotórax</x:v>
      </x:c>
      <x:c r="C7" s="56" t="str">
        <x:v>POCUS rápido → tratar causa: trombólise/drenagem/pericardiocentese</x:v>
      </x:c>
      <x:c r="D7" s="56" t="str">
        <x:v>Pode matar em minutos.</x:v>
      </x:c>
    </x:row>
    <x:row r="8">
      <x:c r="A8" s="56" t="str">
        <x:v>Hipoxemia em VM</x:v>
      </x:c>
      <x:c r="B8" s="56" t="str">
        <x:v>SpO2/PaO2 baixa</x:v>
      </x:c>
      <x:c r="C8" s="56" t="str">
        <x:v>Checar tubo/circuito/secreção → FiO2 → PEEP → Rx/USG → prona se SDRA grave</x:v>
      </x:c>
      <x:c r="D8" s="56" t="str">
        <x:v>Pplatô/DP e hemodinâmica.</x:v>
      </x:c>
    </x:row>
    <x:row r="9">
      <x:c r="A9" s="56" t="str">
        <x:v>Hipercapnia DPOC</x:v>
      </x:c>
      <x:c r="B9" s="56" t="str">
        <x:v>pH baixo + PaCO2 alta</x:v>
      </x:c>
      <x:c r="C9" s="56" t="str">
        <x:v>Checar auto-PEEP → broncodilatador → reduzir aprisionamento → ajustar FR/Vt/Pinsp</x:v>
      </x:c>
      <x:c r="D9" s="56" t="str">
        <x:v>FR demais piora CO2.</x:v>
      </x:c>
    </x:row>
    <x:row r="10">
      <x:c r="A10" s="56" t="str">
        <x:v>Oligúria/LRA</x:v>
      </x:c>
      <x:c r="B10" s="56" t="str">
        <x:v>Diurese baixa/Cr sobe</x:v>
      </x:c>
      <x:c r="C10" s="56" t="str">
        <x:v>Hipovolemia? choque? obstrução? nefrotóxico? → POCUS/urina → metas perfusão</x:v>
      </x:c>
      <x:c r="D10" s="56" t="str">
        <x:v>Não usar diurético para 'curar rim'.</x:v>
      </x:c>
    </x:row>
    <x:row r="11">
      <x:c r="A11" s="56" t="str">
        <x:v>Hipercalemia</x:v>
      </x:c>
      <x:c r="B11" s="56" t="str">
        <x:v>K alto/ECG</x:v>
      </x:c>
      <x:c r="C11" s="56" t="str">
        <x:v>Ca gluconato se ECG/risco → insulina+glicose → beta2 → bicarbonato se acidose → remover K</x:v>
      </x:c>
      <x:c r="D11" s="56" t="str">
        <x:v>Diálise se refratária/LRA grave.</x:v>
      </x:c>
    </x:row>
    <x:row r="12">
      <x:c r="A12" s="56" t="str">
        <x:v>Hiponatremia grave</x:v>
      </x:c>
      <x:c r="B12" s="56" t="str">
        <x:v>Convulsão/rebaixamento</x:v>
      </x:c>
      <x:c r="C12" s="56" t="str">
        <x:v>NaCl 3% bolus conforme protocolo → meta correção segura → causa</x:v>
      </x:c>
      <x:c r="D12" s="56" t="str">
        <x:v>Evitar correção rápida.</x:v>
      </x:c>
    </x:row>
    <x:row r="13">
      <x:c r="A13" s="56" t="str">
        <x:v>Status epilepticus</x:v>
      </x:c>
      <x:c r="B13" s="56" t="str">
        <x:v>Crise &gt;5 min/recorrente</x:v>
      </x:c>
      <x:c r="C13" s="56" t="str">
        <x:v>BZD → antiepiléptico carga → IOT/sedação se refratário → EEG se disponível</x:v>
      </x:c>
      <x:c r="D13" s="56" t="str">
        <x:v>Glicose/Na/Ca/Mg/tox.</x:v>
      </x:c>
    </x:row>
    <x:row r="14">
      <x:c r="A14" s="56" t="str">
        <x:v>Delirium/agitação</x:v>
      </x:c>
      <x:c r="B14" s="56" t="str">
        <x:v>Agitação/confusão</x:v>
      </x:c>
      <x:c r="C14" s="56" t="str">
        <x:v>Dor/hipóxia/hipoglicemia/abstinência? → CAM-ICU → ambiente/sono → fármaco se risco</x:v>
      </x:c>
      <x:c r="D14" s="56" t="str">
        <x:v>Evitar BZD salvo indicação.</x:v>
      </x:c>
    </x:row>
    <x:row r="15">
      <x:c r="A15" s="56" t="str">
        <x:v>Febre na UTI</x:v>
      </x:c>
      <x:c r="B15" s="56" t="str">
        <x:v>T ≥38/instabilidade</x:v>
      </x:c>
      <x:c r="C15" s="56" t="str">
        <x:v>Foco? culturas dirigidas → devices → imagem/labs → ATB se indicado</x:v>
      </x:c>
      <x:c r="D15" s="56" t="str">
        <x:v>Nem toda febre é infecção.</x:v>
      </x:c>
    </x:row>
    <x:row r="16">
      <x:c r="A16" s="56" t="str">
        <x:v>Hipoglicemia</x:v>
      </x:c>
      <x:c r="B16" s="56" t="str">
        <x:v>Glicose baixa</x:v>
      </x:c>
      <x:c r="C16" s="56" t="str">
        <x:v>Glicose IV/VO → recheck → causa/insulina/rim/nutrição</x:v>
      </x:c>
      <x:c r="D16" s="56" t="str">
        <x:v>Rebote e infusão se recorrente.</x:v>
      </x:c>
    </x:row>
    <x:row r="17">
      <x:c r="A17" s="56" t="str">
        <x:v>CAD/hiperglicemia</x:v>
      </x:c>
      <x:c r="B17" s="56" t="str">
        <x:v>Cetonemia/acidose</x:v>
      </x:c>
      <x:c r="C17" s="56" t="str">
        <x:v>Volume → K → insulina → gatilho → transição SC</x:v>
      </x:c>
      <x:c r="D17" s="56" t="str">
        <x:v>Não iniciar insulina se K muito baixo.</x:v>
      </x:c>
    </x:row>
    <x:row r="18">
      <x:c r="A18" s="56" t="str">
        <x:v>Sangramento anticoagulado</x:v>
      </x:c>
      <x:c r="B18" s="56" t="str">
        <x:v>Sangramento maior</x:v>
      </x:c>
      <x:c r="C18" s="56" t="str">
        <x:v>Suspender → ABC → labs → fonte → reversão específica → hemoderivados</x:v>
      </x:c>
      <x:c r="D18" s="56" t="str">
        <x:v>Saber última dose e rim.</x:v>
      </x:c>
    </x:row>
    <x:row r="19">
      <x:c r="A19" s="56" t="str">
        <x:v>PCR</x:v>
      </x:c>
      <x:c r="B19" s="56" t="str">
        <x:v>Sem pulso</x:v>
      </x:c>
      <x:c r="C19" s="56" t="str">
        <x:v>RCP alta qualidade → ritmo → choque se chocável → adrenalina → Hs/Ts</x:v>
      </x:c>
      <x:c r="D19" s="56" t="str">
        <x:v>Capnografia e causa reversível.</x:v>
      </x:c>
    </x:row>
    <x:row r="20">
      <x:c r="A20" s="56" t="str">
        <x:v>AVC agudo</x:v>
      </x:c>
      <x:c r="B20" s="56" t="str">
        <x:v>Déficit focal</x:v>
      </x:c>
      <x:c r="C20" s="56" t="str">
        <x:v>Hora zero → glicemia → TC → trombólise/trombectomia elegível</x:v>
      </x:c>
      <x:c r="D20" s="56" t="str">
        <x:v>PA e anticoagulantes.</x:v>
      </x:c>
    </x:row>
    <x:row r="21">
      <x:c r="A21" s="56" t="str">
        <x:v>HSA</x:v>
      </x:c>
      <x:c r="B21" s="56" t="str">
        <x:v>Cefaleia explosiva/RNC</x:v>
      </x:c>
      <x:c r="C21" s="56" t="str">
        <x:v>TC → neurocirurgia → nimodipina → controle PA → hidrocefalia/vasoespasmo</x:v>
      </x:c>
      <x:c r="D21" s="56" t="str">
        <x:v>Rebleeding e DVE.</x:v>
      </x:c>
    </x:row>
    <x:row r="22">
      <x:c r="A22" s="56" t="str">
        <x:v>Abdome agudo UTI</x:v>
      </x:c>
      <x:c r="B22" s="56" t="str">
        <x:v>Dor/distensão/lactato</x:v>
      </x:c>
      <x:c r="C22" s="56" t="str">
        <x:v>Cirurgia precoce → TC se estável → ATB/ressuscitação → controle foco</x:v>
      </x:c>
      <x:c r="D22" s="56" t="str">
        <x:v>Isquemia mesentérica é tempo-dependente.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d3c35ef8efa416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28" hidden="0" customWidth="1"/>
    <x:col min="4" max="4" width="42" hidden="0" customWidth="1"/>
    <x:col min="5" max="5" width="38" hidden="0" customWidth="1"/>
  </x:cols>
  <x:sheetData>
    <x:row r="1" ht="30" customHeight="1">
      <x:c r="A1" s="76" t="str">
        <x:v>CONTRAINDICAÇÕES E ALERTAS CRÍTICOS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Mapa de riscos farmacológicos e clínicos para revisão antes de prescrever/renovar condutas.</x:v>
      </x:c>
    </x:row>
    <x:row r="4">
      <x:c r="A4" s="24" t="str">
        <x:v>Categoria</x:v>
      </x:c>
      <x:c r="B4" s="24" t="str">
        <x:v>Exemplos</x:v>
      </x:c>
      <x:c r="C4" s="24" t="str">
        <x:v>Risco</x:v>
      </x:c>
      <x:c r="D4" s="24" t="str">
        <x:v>Conduta prática</x:v>
      </x:c>
      <x:c r="E4" s="24" t="str">
        <x:v>Observações</x:v>
      </x:c>
    </x:row>
    <x:row r="5">
      <x:c r="A5" s="56" t="str">
        <x:v>Disfunção renal grave</x:v>
      </x:c>
      <x:c r="B5" s="56" t="str">
        <x:v>Morfina, gabapentina, baclofeno, cefepime, aciclovir</x:v>
      </x:c>
      <x:c r="C5" s="56" t="str">
        <x:v>Neurotoxicidade/sedação/convulsão</x:v>
      </x:c>
      <x:c r="D5" s="56" t="str">
        <x:v>Ajustar ou trocar</x:v>
      </x:c>
      <x:c r="E5" s="56" t="str">
        <x:v>Revisar ClCr diariamente.</x:v>
      </x:c>
    </x:row>
    <x:row r="6">
      <x:c r="A6" s="56" t="str">
        <x:v>Prolongamento QT</x:v>
      </x:c>
      <x:c r="B6" s="56" t="str">
        <x:v>Haloperidol, amiodarona, quinolonas, azóis, macrolídeos</x:v>
      </x:c>
      <x:c r="C6" s="56" t="str">
        <x:v>Torsades</x:v>
      </x:c>
      <x:c r="D6" s="56" t="str">
        <x:v>ECG, K&gt;4, Mg&gt;2, evitar combinações</x:v>
      </x:c>
      <x:c r="E6" s="56" t="str">
        <x:v>Atenção bradicardia.</x:v>
      </x:c>
    </x:row>
    <x:row r="7">
      <x:c r="A7" s="56" t="str">
        <x:v>Sangramento</x:v>
      </x:c>
      <x:c r="B7" s="56" t="str">
        <x:v>Anticoagulantes, antiagregantes, trombolítico</x:v>
      </x:c>
      <x:c r="C7" s="56" t="str">
        <x:v>Sangramento maior</x:v>
      </x:c>
      <x:c r="D7" s="56" t="str">
        <x:v>Checar indicação e contraindicações</x:v>
      </x:c>
      <x:c r="E7" s="56" t="str">
        <x:v>Neurocrítico exige cautela.</x:v>
      </x:c>
    </x:row>
    <x:row r="8">
      <x:c r="A8" s="56" t="str">
        <x:v>Nefrotoxicidade</x:v>
      </x:c>
      <x:c r="B8" s="56" t="str">
        <x:v>Aminoglicosídeos, vancomicina, anfotericina, contraste, AINE</x:v>
      </x:c>
      <x:c r="C8" s="56" t="str">
        <x:v>LRA</x:v>
      </x:c>
      <x:c r="D8" s="56" t="str">
        <x:v>Evitar combinações/monitorar níveis</x:v>
      </x:c>
      <x:c r="E8" s="56" t="str">
        <x:v>Otimizar volemia/perfusão.</x:v>
      </x:c>
    </x:row>
    <x:row r="9">
      <x:c r="A9" s="56" t="str">
        <x:v>Serotoninérgicas</x:v>
      </x:c>
      <x:c r="B9" s="56" t="str">
        <x:v>Linezolida, tramadol, ISRS, azul de metileno</x:v>
      </x:c>
      <x:c r="C9" s="56" t="str">
        <x:v>Síndrome serotoninérgica</x:v>
      </x:c>
      <x:c r="D9" s="56" t="str">
        <x:v>Evitar associação ou monitorar</x:v>
      </x:c>
      <x:c r="E9" s="56" t="str">
        <x:v>Azul de metileno é alerta forte.</x:v>
      </x:c>
    </x:row>
    <x:row r="10">
      <x:c r="A10" s="56" t="str">
        <x:v>Depressão respiratória</x:v>
      </x:c>
      <x:c r="B10" s="56" t="str">
        <x:v>Opioides, BZD, gabapentinoides</x:v>
      </x:c>
      <x:c r="C10" s="56" t="str">
        <x:v>Hipoventilação/delirium</x:v>
      </x:c>
      <x:c r="D10" s="56" t="str">
        <x:v>Titular e monitorar</x:v>
      </x:c>
      <x:c r="E10" s="56" t="str">
        <x:v>Cautela DPOC/idosos.</x:v>
      </x:c>
    </x:row>
    <x:row r="11">
      <x:c r="A11" s="56" t="str">
        <x:v>Delirium</x:v>
      </x:c>
      <x:c r="B11" s="56" t="str">
        <x:v>BZD, anticolinérgicos, privação sono, contenção</x:v>
      </x:c>
      <x:c r="C11" s="56" t="str">
        <x:v>Piora cognitiva/VM prolongada</x:v>
      </x:c>
      <x:c r="D11" s="56" t="str">
        <x:v>ABCDEF, sono, mobilização</x:v>
      </x:c>
      <x:c r="E11" s="56" t="str">
        <x:v>Tratar dor primeiro.</x:v>
      </x:c>
    </x:row>
    <x:row r="12">
      <x:c r="A12" s="56" t="str">
        <x:v>Hipotensão</x:v>
      </x:c>
      <x:c r="B12" s="56" t="str">
        <x:v>Propofol, dexmedetomidina, nitratos, milrinona</x:v>
      </x:c>
      <x:c r="C12" s="56" t="str">
        <x:v>Choque/hipoperfusão</x:v>
      </x:c>
      <x:c r="D12" s="56" t="str">
        <x:v>Titular por PAM/perfusão</x:v>
      </x:c>
      <x:c r="E12" s="56" t="str">
        <x:v>POCUS pode ajudar.</x:v>
      </x:c>
    </x:row>
    <x:row r="13">
      <x:c r="A13" s="56" t="str">
        <x:v>Hipoglicemia</x:v>
      </x:c>
      <x:c r="B13" s="56" t="str">
        <x:v>Insulina, quinolonas, LRA, jejum</x:v>
      </x:c>
      <x:c r="C13" s="56" t="str">
        <x:v>Convulsão/RNC</x:v>
      </x:c>
      <x:c r="D13" s="56" t="str">
        <x:v>Revisar dieta e função renal</x:v>
      </x:c>
      <x:c r="E13" s="56" t="str">
        <x:v>Rechecks seriados.</x:v>
      </x:c>
    </x:row>
    <x:row r="14">
      <x:c r="A14" s="56" t="str">
        <x:v>Hepatopatia</x:v>
      </x:c>
      <x:c r="B14" s="56" t="str">
        <x:v>Paracetamol, sedativos, DOACs, azóis</x:v>
      </x:c>
      <x:c r="C14" s="56" t="str">
        <x:v>Acúmulo/sangramento</x:v>
      </x:c>
      <x:c r="D14" s="56" t="str">
        <x:v>Ajustar e monitorar INR/bilirrubina</x:v>
      </x:c>
      <x:c r="E14" s="56" t="str">
        <x:v>Albumina não é tudo.</x:v>
      </x:c>
    </x:row>
    <x:row r="15">
      <x:c r="A15" s="56" t="str">
        <x:v>Idosos/frágeis</x:v>
      </x:c>
      <x:c r="B15" s="56" t="str">
        <x:v>Antipsicóticos, BZD, opioides, anticolinérgicos</x:v>
      </x:c>
      <x:c r="C15" s="56" t="str">
        <x:v>Queda/delirium/sedação</x:v>
      </x:c>
      <x:c r="D15" s="56" t="str">
        <x:v>Start low, go slow</x:v>
      </x:c>
      <x:c r="E15" s="56" t="str">
        <x:v>Metas realistas.</x:v>
      </x:c>
    </x:row>
    <x:row r="16">
      <x:c r="A16" s="56" t="str">
        <x:v>Gestantes</x:v>
      </x:c>
      <x:c r="B16" s="56" t="str">
        <x:v>Varfarina, IECA/BRA, alguns ATB</x:v>
      </x:c>
      <x:c r="C16" s="56" t="str">
        <x:v>Teratogenicidade/fetal</x:v>
      </x:c>
      <x:c r="D16" s="56" t="str">
        <x:v>Consultar obstetrícia/fármaco seguro</x:v>
      </x:c>
      <x:c r="E16" s="56" t="str">
        <x:v>Considerar idade gestacional.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b7be96066ad4d6b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28" hidden="0" customWidth="1"/>
    <x:col min="5" max="5" width="28" hidden="0" customWidth="1"/>
    <x:col min="6" max="6" width="30" hidden="0" customWidth="1"/>
    <x:col min="7" max="7" width="30" hidden="0" customWidth="1"/>
    <x:col min="8" max="8" width="24" hidden="0" customWidth="1"/>
    <x:col min="9" max="9" width="24" hidden="0" customWidth="1"/>
    <x:col min="10" max="10" width="24" hidden="0" customWidth="1"/>
    <x:col min="11" max="11" width="28" hidden="0" customWidth="1"/>
    <x:col min="12" max="12" width="36" hidden="0" customWidth="1"/>
    <x:col min="13" max="13" width="36" hidden="0" customWidth="1"/>
    <x:col min="14" max="14" width="42" hidden="0" customWidth="1"/>
    <x:col min="15" max="15" width="34" hidden="0" customWidth="1"/>
  </x:cols>
  <x:sheetData>
    <x:row r="1" ht="30" customHeight="1">
      <x:c r="A1" s="76" t="str">
        <x:v>PASSAGEM DE PLANTÃO UTI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Modelo objetivo para entregar o plantão em 10 linhas por paciente, com risco da noite e plano se piorar.</x:v>
      </x:c>
    </x:row>
    <x:row r="4">
      <x:c r="A4" s="24" t="str">
        <x:v>Leito</x:v>
      </x:c>
      <x:c r="B4" s="24" t="str">
        <x:v>Diagnóstico principal</x:v>
      </x:c>
      <x:c r="C4" s="24" t="str">
        <x:v>Eventos 24h</x:v>
      </x:c>
      <x:c r="D4" s="24" t="str">
        <x:v>Suporte ventilatório</x:v>
      </x:c>
      <x:c r="E4" s="24" t="str">
        <x:v>Hemodinâmica</x:v>
      </x:c>
      <x:c r="F4" s="24" t="str">
        <x:v>Infecção/ATB</x:v>
      </x:c>
      <x:c r="G4" s="24" t="str">
        <x:v>Rim/diurese/diálise</x:v>
      </x:c>
      <x:c r="H4" s="24" t="str">
        <x:v>Neuro</x:v>
      </x:c>
      <x:c r="I4" s="24" t="str">
        <x:v>Nutrição</x:v>
      </x:c>
      <x:c r="J4" s="24" t="str">
        <x:v>Anticoagulação</x:v>
      </x:c>
      <x:c r="K4" s="24" t="str">
        <x:v>Devices</x:v>
      </x:c>
      <x:c r="L4" s="24" t="str">
        <x:v>Pendências</x:v>
      </x:c>
      <x:c r="M4" s="24" t="str">
        <x:v>Riscos da noite</x:v>
      </x:c>
      <x:c r="N4" s="24" t="str">
        <x:v>Conduta se piorar</x:v>
      </x:c>
      <x:c r="O4" s="24" t="str">
        <x:v>Meta 12–24h</x:v>
      </x:c>
    </x:row>
    <x:row r="5">
      <x:c r="A5" s="56" t="str"/>
      <x:c r="B5" s="56" t="str"/>
      <x:c r="C5" s="56" t="str"/>
      <x:c r="D5" s="56" t="str"/>
      <x:c r="E5" s="56" t="str"/>
      <x:c r="F5" s="56" t="str"/>
      <x:c r="G5" s="56" t="str"/>
      <x:c r="H5" s="56" t="str"/>
      <x:c r="I5" s="56" t="str"/>
      <x:c r="J5" s="56" t="str"/>
      <x:c r="K5" s="56" t="str"/>
      <x:c r="L5" s="56" t="str"/>
      <x:c r="M5" s="56" t="str"/>
      <x:c r="N5" s="56" t="str"/>
      <x:c r="O5" s="56" t="str"/>
    </x:row>
    <x:row r="6">
      <x:c r="A6" s="56" t="str"/>
      <x:c r="B6" s="56" t="str"/>
      <x:c r="C6" s="56" t="str"/>
      <x:c r="D6" s="56" t="str"/>
      <x:c r="E6" s="56" t="str"/>
      <x:c r="F6" s="56" t="str"/>
      <x:c r="G6" s="56" t="str"/>
      <x:c r="H6" s="56" t="str"/>
      <x:c r="I6" s="56" t="str"/>
      <x:c r="J6" s="56" t="str"/>
      <x:c r="K6" s="56" t="str"/>
      <x:c r="L6" s="56" t="str"/>
      <x:c r="M6" s="56" t="str"/>
      <x:c r="N6" s="56" t="str"/>
      <x:c r="O6" s="56" t="str"/>
    </x:row>
    <x:row r="7">
      <x:c r="A7" s="56" t="str"/>
      <x:c r="B7" s="56" t="str"/>
      <x:c r="C7" s="56" t="str"/>
      <x:c r="D7" s="56" t="str"/>
      <x:c r="E7" s="56" t="str"/>
      <x:c r="F7" s="56" t="str"/>
      <x:c r="G7" s="56" t="str"/>
      <x:c r="H7" s="56" t="str"/>
      <x:c r="I7" s="56" t="str"/>
      <x:c r="J7" s="56" t="str"/>
      <x:c r="K7" s="56" t="str"/>
      <x:c r="L7" s="56" t="str"/>
      <x:c r="M7" s="56" t="str"/>
      <x:c r="N7" s="56" t="str"/>
      <x:c r="O7" s="56" t="str"/>
    </x:row>
    <x:row r="8">
      <x:c r="A8" s="56" t="str"/>
      <x:c r="B8" s="56" t="str"/>
      <x:c r="C8" s="56" t="str"/>
      <x:c r="D8" s="56" t="str"/>
      <x:c r="E8" s="56" t="str"/>
      <x:c r="F8" s="56" t="str"/>
      <x:c r="G8" s="56" t="str"/>
      <x:c r="H8" s="56" t="str"/>
      <x:c r="I8" s="56" t="str"/>
      <x:c r="J8" s="56" t="str"/>
      <x:c r="K8" s="56" t="str"/>
      <x:c r="L8" s="56" t="str"/>
      <x:c r="M8" s="56" t="str"/>
      <x:c r="N8" s="56" t="str"/>
      <x:c r="O8" s="56" t="str"/>
    </x:row>
    <x:row r="9">
      <x:c r="A9" s="56" t="str"/>
      <x:c r="B9" s="56" t="str"/>
      <x:c r="C9" s="56" t="str"/>
      <x:c r="D9" s="56" t="str"/>
      <x:c r="E9" s="56" t="str"/>
      <x:c r="F9" s="56" t="str"/>
      <x:c r="G9" s="56" t="str"/>
      <x:c r="H9" s="56" t="str"/>
      <x:c r="I9" s="56" t="str"/>
      <x:c r="J9" s="56" t="str"/>
      <x:c r="K9" s="56" t="str"/>
      <x:c r="L9" s="56" t="str"/>
      <x:c r="M9" s="56" t="str"/>
      <x:c r="N9" s="56" t="str"/>
      <x:c r="O9" s="56" t="str"/>
    </x:row>
    <x:row r="10">
      <x:c r="A10" s="56" t="str"/>
      <x:c r="B10" s="56" t="str"/>
      <x:c r="C10" s="56" t="str"/>
      <x:c r="D10" s="56" t="str"/>
      <x:c r="E10" s="56" t="str"/>
      <x:c r="F10" s="56" t="str"/>
      <x:c r="G10" s="56" t="str"/>
      <x:c r="H10" s="56" t="str"/>
      <x:c r="I10" s="56" t="str"/>
      <x:c r="J10" s="56" t="str"/>
      <x:c r="K10" s="56" t="str"/>
      <x:c r="L10" s="56" t="str"/>
      <x:c r="M10" s="56" t="str"/>
      <x:c r="N10" s="56" t="str"/>
      <x:c r="O10" s="56" t="str"/>
    </x:row>
    <x:row r="11">
      <x:c r="A11" s="56" t="str"/>
      <x:c r="B11" s="56" t="str"/>
      <x:c r="C11" s="56" t="str"/>
      <x:c r="D11" s="56" t="str"/>
      <x:c r="E11" s="56" t="str"/>
      <x:c r="F11" s="56" t="str"/>
      <x:c r="G11" s="56" t="str"/>
      <x:c r="H11" s="56" t="str"/>
      <x:c r="I11" s="56" t="str"/>
      <x:c r="J11" s="56" t="str"/>
      <x:c r="K11" s="56" t="str"/>
      <x:c r="L11" s="56" t="str"/>
      <x:c r="M11" s="56" t="str"/>
      <x:c r="N11" s="56" t="str"/>
      <x:c r="O11" s="56" t="str"/>
    </x:row>
    <x:row r="12">
      <x:c r="A12" s="56" t="str"/>
      <x:c r="B12" s="56" t="str"/>
      <x:c r="C12" s="56" t="str"/>
      <x:c r="D12" s="56" t="str"/>
      <x:c r="E12" s="56" t="str"/>
      <x:c r="F12" s="56" t="str"/>
      <x:c r="G12" s="56" t="str"/>
      <x:c r="H12" s="56" t="str"/>
      <x:c r="I12" s="56" t="str"/>
      <x:c r="J12" s="56" t="str"/>
      <x:c r="K12" s="56" t="str"/>
      <x:c r="L12" s="56" t="str"/>
      <x:c r="M12" s="56" t="str"/>
      <x:c r="N12" s="56" t="str"/>
      <x:c r="O12" s="56" t="str"/>
    </x:row>
    <x:row r="13">
      <x:c r="A13" s="56" t="str"/>
      <x:c r="B13" s="56" t="str"/>
      <x:c r="C13" s="56" t="str"/>
      <x:c r="D13" s="56" t="str"/>
      <x:c r="E13" s="56" t="str"/>
      <x:c r="F13" s="56" t="str"/>
      <x:c r="G13" s="56" t="str"/>
      <x:c r="H13" s="56" t="str"/>
      <x:c r="I13" s="56" t="str"/>
      <x:c r="J13" s="56" t="str"/>
      <x:c r="K13" s="56" t="str"/>
      <x:c r="L13" s="56" t="str"/>
      <x:c r="M13" s="56" t="str"/>
      <x:c r="N13" s="56" t="str"/>
      <x:c r="O13" s="56" t="str"/>
    </x:row>
    <x:row r="14">
      <x:c r="A14" s="56" t="str"/>
      <x:c r="B14" s="56" t="str"/>
      <x:c r="C14" s="56" t="str"/>
      <x:c r="D14" s="56" t="str"/>
      <x:c r="E14" s="56" t="str"/>
      <x:c r="F14" s="56" t="str"/>
      <x:c r="G14" s="56" t="str"/>
      <x:c r="H14" s="56" t="str"/>
      <x:c r="I14" s="56" t="str"/>
      <x:c r="J14" s="56" t="str"/>
      <x:c r="K14" s="56" t="str"/>
      <x:c r="L14" s="56" t="str"/>
      <x:c r="M14" s="56" t="str"/>
      <x:c r="N14" s="56" t="str"/>
      <x:c r="O14" s="56" t="str"/>
    </x:row>
    <x:row r="15">
      <x:c r="A15" s="56" t="str"/>
      <x:c r="B15" s="56" t="str"/>
      <x:c r="C15" s="56" t="str"/>
      <x:c r="D15" s="56" t="str"/>
      <x:c r="E15" s="56" t="str"/>
      <x:c r="F15" s="56" t="str"/>
      <x:c r="G15" s="56" t="str"/>
      <x:c r="H15" s="56" t="str"/>
      <x:c r="I15" s="56" t="str"/>
      <x:c r="J15" s="56" t="str"/>
      <x:c r="K15" s="56" t="str"/>
      <x:c r="L15" s="56" t="str"/>
      <x:c r="M15" s="56" t="str"/>
      <x:c r="N15" s="56" t="str"/>
      <x:c r="O15" s="56" t="str"/>
    </x:row>
    <x:row r="16">
      <x:c r="A16" s="56" t="str"/>
      <x:c r="B16" s="56" t="str"/>
      <x:c r="C16" s="56" t="str"/>
      <x:c r="D16" s="56" t="str"/>
      <x:c r="E16" s="56" t="str"/>
      <x:c r="F16" s="56" t="str"/>
      <x:c r="G16" s="56" t="str"/>
      <x:c r="H16" s="56" t="str"/>
      <x:c r="I16" s="56" t="str"/>
      <x:c r="J16" s="56" t="str"/>
      <x:c r="K16" s="56" t="str"/>
      <x:c r="L16" s="56" t="str"/>
      <x:c r="M16" s="56" t="str"/>
      <x:c r="N16" s="56" t="str"/>
      <x:c r="O16" s="56" t="str"/>
    </x:row>
    <x:row r="17">
      <x:c r="A17" s="56" t="str"/>
      <x:c r="B17" s="56" t="str"/>
      <x:c r="C17" s="56" t="str"/>
      <x:c r="D17" s="56" t="str"/>
      <x:c r="E17" s="56" t="str"/>
      <x:c r="F17" s="56" t="str"/>
      <x:c r="G17" s="56" t="str"/>
      <x:c r="H17" s="56" t="str"/>
      <x:c r="I17" s="56" t="str"/>
      <x:c r="J17" s="56" t="str"/>
      <x:c r="K17" s="56" t="str"/>
      <x:c r="L17" s="56" t="str"/>
      <x:c r="M17" s="56" t="str"/>
      <x:c r="N17" s="56" t="str"/>
      <x:c r="O17" s="56" t="str"/>
    </x:row>
    <x:row r="18">
      <x:c r="A18" s="56" t="str"/>
      <x:c r="B18" s="56" t="str"/>
      <x:c r="C18" s="56" t="str"/>
      <x:c r="D18" s="56" t="str"/>
      <x:c r="E18" s="56" t="str"/>
      <x:c r="F18" s="56" t="str"/>
      <x:c r="G18" s="56" t="str"/>
      <x:c r="H18" s="56" t="str"/>
      <x:c r="I18" s="56" t="str"/>
      <x:c r="J18" s="56" t="str"/>
      <x:c r="K18" s="56" t="str"/>
      <x:c r="L18" s="56" t="str"/>
      <x:c r="M18" s="56" t="str"/>
      <x:c r="N18" s="56" t="str"/>
      <x:c r="O18" s="56" t="str"/>
    </x:row>
    <x:row r="19">
      <x:c r="A19" s="56" t="str"/>
      <x:c r="B19" s="56" t="str"/>
      <x:c r="C19" s="56" t="str"/>
      <x:c r="D19" s="56" t="str"/>
      <x:c r="E19" s="56" t="str"/>
      <x:c r="F19" s="56" t="str"/>
      <x:c r="G19" s="56" t="str"/>
      <x:c r="H19" s="56" t="str"/>
      <x:c r="I19" s="56" t="str"/>
      <x:c r="J19" s="56" t="str"/>
      <x:c r="K19" s="56" t="str"/>
      <x:c r="L19" s="56" t="str"/>
      <x:c r="M19" s="56" t="str"/>
      <x:c r="N19" s="56" t="str"/>
      <x:c r="O19" s="56" t="str"/>
    </x:row>
    <x:row r="20">
      <x:c r="A20" s="56" t="str"/>
      <x:c r="B20" s="56" t="str"/>
      <x:c r="C20" s="56" t="str"/>
      <x:c r="D20" s="56" t="str"/>
      <x:c r="E20" s="56" t="str"/>
      <x:c r="F20" s="56" t="str"/>
      <x:c r="G20" s="56" t="str"/>
      <x:c r="H20" s="56" t="str"/>
      <x:c r="I20" s="56" t="str"/>
      <x:c r="J20" s="56" t="str"/>
      <x:c r="K20" s="56" t="str"/>
      <x:c r="L20" s="56" t="str"/>
      <x:c r="M20" s="56" t="str"/>
      <x:c r="N20" s="56" t="str"/>
      <x:c r="O20" s="56" t="str"/>
    </x:row>
    <x:row r="21">
      <x:c r="A21" s="56" t="str"/>
      <x:c r="B21" s="56" t="str"/>
      <x:c r="C21" s="56" t="str"/>
      <x:c r="D21" s="56" t="str"/>
      <x:c r="E21" s="56" t="str"/>
      <x:c r="F21" s="56" t="str"/>
      <x:c r="G21" s="56" t="str"/>
      <x:c r="H21" s="56" t="str"/>
      <x:c r="I21" s="56" t="str"/>
      <x:c r="J21" s="56" t="str"/>
      <x:c r="K21" s="56" t="str"/>
      <x:c r="L21" s="56" t="str"/>
      <x:c r="M21" s="56" t="str"/>
      <x:c r="N21" s="56" t="str"/>
      <x:c r="O21" s="56" t="str"/>
    </x:row>
    <x:row r="22">
      <x:c r="A22" s="56" t="str"/>
      <x:c r="B22" s="56" t="str"/>
      <x:c r="C22" s="56" t="str"/>
      <x:c r="D22" s="56" t="str"/>
      <x:c r="E22" s="56" t="str"/>
      <x:c r="F22" s="56" t="str"/>
      <x:c r="G22" s="56" t="str"/>
      <x:c r="H22" s="56" t="str"/>
      <x:c r="I22" s="56" t="str"/>
      <x:c r="J22" s="56" t="str"/>
      <x:c r="K22" s="56" t="str"/>
      <x:c r="L22" s="56" t="str"/>
      <x:c r="M22" s="56" t="str"/>
      <x:c r="N22" s="56" t="str"/>
      <x:c r="O22" s="56" t="str"/>
    </x:row>
    <x:row r="23">
      <x:c r="A23" s="56" t="str"/>
      <x:c r="B23" s="56" t="str"/>
      <x:c r="C23" s="56" t="str"/>
      <x:c r="D23" s="56" t="str"/>
      <x:c r="E23" s="56" t="str"/>
      <x:c r="F23" s="56" t="str"/>
      <x:c r="G23" s="56" t="str"/>
      <x:c r="H23" s="56" t="str"/>
      <x:c r="I23" s="56" t="str"/>
      <x:c r="J23" s="56" t="str"/>
      <x:c r="K23" s="56" t="str"/>
      <x:c r="L23" s="56" t="str"/>
      <x:c r="M23" s="56" t="str"/>
      <x:c r="N23" s="56" t="str"/>
      <x:c r="O23" s="56" t="str"/>
    </x:row>
    <x:row r="24">
      <x:c r="A24" s="56" t="str"/>
      <x:c r="B24" s="56" t="str"/>
      <x:c r="C24" s="56" t="str"/>
      <x:c r="D24" s="56" t="str"/>
      <x:c r="E24" s="56" t="str"/>
      <x:c r="F24" s="56" t="str"/>
      <x:c r="G24" s="56" t="str"/>
      <x:c r="H24" s="56" t="str"/>
      <x:c r="I24" s="56" t="str"/>
      <x:c r="J24" s="56" t="str"/>
      <x:c r="K24" s="56" t="str"/>
      <x:c r="L24" s="56" t="str"/>
      <x:c r="M24" s="56" t="str"/>
      <x:c r="N24" s="56" t="str"/>
      <x:c r="O24" s="56" t="str"/>
    </x:row>
    <x:row r="25">
      <x:c r="A25" s="56" t="str"/>
      <x:c r="B25" s="56" t="str"/>
      <x:c r="C25" s="56" t="str"/>
      <x:c r="D25" s="56" t="str"/>
      <x:c r="E25" s="56" t="str"/>
      <x:c r="F25" s="56" t="str"/>
      <x:c r="G25" s="56" t="str"/>
      <x:c r="H25" s="56" t="str"/>
      <x:c r="I25" s="56" t="str"/>
      <x:c r="J25" s="56" t="str"/>
      <x:c r="K25" s="56" t="str"/>
      <x:c r="L25" s="56" t="str"/>
      <x:c r="M25" s="56" t="str"/>
      <x:c r="N25" s="56" t="str"/>
      <x:c r="O25" s="56" t="str"/>
    </x:row>
    <x:row r="26">
      <x:c r="A26" s="56" t="str"/>
      <x:c r="B26" s="56" t="str"/>
      <x:c r="C26" s="56" t="str"/>
      <x:c r="D26" s="56" t="str"/>
      <x:c r="E26" s="56" t="str"/>
      <x:c r="F26" s="56" t="str"/>
      <x:c r="G26" s="56" t="str"/>
      <x:c r="H26" s="56" t="str"/>
      <x:c r="I26" s="56" t="str"/>
      <x:c r="J26" s="56" t="str"/>
      <x:c r="K26" s="56" t="str"/>
      <x:c r="L26" s="56" t="str"/>
      <x:c r="M26" s="56" t="str"/>
      <x:c r="N26" s="56" t="str"/>
      <x:c r="O26" s="56" t="str"/>
    </x:row>
    <x:row r="27">
      <x:c r="A27" s="56" t="str"/>
      <x:c r="B27" s="56" t="str"/>
      <x:c r="C27" s="56" t="str"/>
      <x:c r="D27" s="56" t="str"/>
      <x:c r="E27" s="56" t="str"/>
      <x:c r="F27" s="56" t="str"/>
      <x:c r="G27" s="56" t="str"/>
      <x:c r="H27" s="56" t="str"/>
      <x:c r="I27" s="56" t="str"/>
      <x:c r="J27" s="56" t="str"/>
      <x:c r="K27" s="56" t="str"/>
      <x:c r="L27" s="56" t="str"/>
      <x:c r="M27" s="56" t="str"/>
      <x:c r="N27" s="56" t="str"/>
      <x:c r="O27" s="56" t="str"/>
    </x:row>
    <x:row r="28">
      <x:c r="A28" s="56" t="str"/>
      <x:c r="B28" s="56" t="str"/>
      <x:c r="C28" s="56" t="str"/>
      <x:c r="D28" s="56" t="str"/>
      <x:c r="E28" s="56" t="str"/>
      <x:c r="F28" s="56" t="str"/>
      <x:c r="G28" s="56" t="str"/>
      <x:c r="H28" s="56" t="str"/>
      <x:c r="I28" s="56" t="str"/>
      <x:c r="J28" s="56" t="str"/>
      <x:c r="K28" s="56" t="str"/>
      <x:c r="L28" s="56" t="str"/>
      <x:c r="M28" s="56" t="str"/>
      <x:c r="N28" s="56" t="str"/>
      <x:c r="O28" s="56" t="str"/>
    </x:row>
    <x:row r="29">
      <x:c r="A29" s="56" t="str"/>
      <x:c r="B29" s="56" t="str"/>
      <x:c r="C29" s="56" t="str"/>
      <x:c r="D29" s="56" t="str"/>
      <x:c r="E29" s="56" t="str"/>
      <x:c r="F29" s="56" t="str"/>
      <x:c r="G29" s="56" t="str"/>
      <x:c r="H29" s="56" t="str"/>
      <x:c r="I29" s="56" t="str"/>
      <x:c r="J29" s="56" t="str"/>
      <x:c r="K29" s="56" t="str"/>
      <x:c r="L29" s="56" t="str"/>
      <x:c r="M29" s="56" t="str"/>
      <x:c r="N29" s="56" t="str"/>
      <x:c r="O29" s="56" t="str"/>
    </x:row>
    <x:row r="30">
      <x:c r="A30" s="56" t="str"/>
      <x:c r="B30" s="56" t="str"/>
      <x:c r="C30" s="56" t="str"/>
      <x:c r="D30" s="56" t="str"/>
      <x:c r="E30" s="56" t="str"/>
      <x:c r="F30" s="56" t="str"/>
      <x:c r="G30" s="56" t="str"/>
      <x:c r="H30" s="56" t="str"/>
      <x:c r="I30" s="56" t="str"/>
      <x:c r="J30" s="56" t="str"/>
      <x:c r="K30" s="56" t="str"/>
      <x:c r="L30" s="56" t="str"/>
      <x:c r="M30" s="56" t="str"/>
      <x:c r="N30" s="56" t="str"/>
      <x:c r="O30" s="56" t="str"/>
    </x:row>
    <x:row r="31">
      <x:c r="A31" s="56" t="str"/>
      <x:c r="B31" s="56" t="str"/>
      <x:c r="C31" s="56" t="str"/>
      <x:c r="D31" s="56" t="str"/>
      <x:c r="E31" s="56" t="str"/>
      <x:c r="F31" s="56" t="str"/>
      <x:c r="G31" s="56" t="str"/>
      <x:c r="H31" s="56" t="str"/>
      <x:c r="I31" s="56" t="str"/>
      <x:c r="J31" s="56" t="str"/>
      <x:c r="K31" s="56" t="str"/>
      <x:c r="L31" s="56" t="str"/>
      <x:c r="M31" s="56" t="str"/>
      <x:c r="N31" s="56" t="str"/>
      <x:c r="O31" s="56" t="str"/>
    </x:row>
    <x:row r="32">
      <x:c r="A32" s="56" t="str"/>
      <x:c r="B32" s="56" t="str"/>
      <x:c r="C32" s="56" t="str"/>
      <x:c r="D32" s="56" t="str"/>
      <x:c r="E32" s="56" t="str"/>
      <x:c r="F32" s="56" t="str"/>
      <x:c r="G32" s="56" t="str"/>
      <x:c r="H32" s="56" t="str"/>
      <x:c r="I32" s="56" t="str"/>
      <x:c r="J32" s="56" t="str"/>
      <x:c r="K32" s="56" t="str"/>
      <x:c r="L32" s="56" t="str"/>
      <x:c r="M32" s="56" t="str"/>
      <x:c r="N32" s="56" t="str"/>
      <x:c r="O32" s="56" t="str"/>
    </x:row>
    <x:row r="33">
      <x:c r="A33" s="56" t="str"/>
      <x:c r="B33" s="56" t="str"/>
      <x:c r="C33" s="56" t="str"/>
      <x:c r="D33" s="56" t="str"/>
      <x:c r="E33" s="56" t="str"/>
      <x:c r="F33" s="56" t="str"/>
      <x:c r="G33" s="56" t="str"/>
      <x:c r="H33" s="56" t="str"/>
      <x:c r="I33" s="56" t="str"/>
      <x:c r="J33" s="56" t="str"/>
      <x:c r="K33" s="56" t="str"/>
      <x:c r="L33" s="56" t="str"/>
      <x:c r="M33" s="56" t="str"/>
      <x:c r="N33" s="56" t="str"/>
      <x:c r="O33" s="56" t="str"/>
    </x:row>
    <x:row r="34">
      <x:c r="A34" s="56" t="str"/>
      <x:c r="B34" s="56" t="str"/>
      <x:c r="C34" s="56" t="str"/>
      <x:c r="D34" s="56" t="str"/>
      <x:c r="E34" s="56" t="str"/>
      <x:c r="F34" s="56" t="str"/>
      <x:c r="G34" s="56" t="str"/>
      <x:c r="H34" s="56" t="str"/>
      <x:c r="I34" s="56" t="str"/>
      <x:c r="J34" s="56" t="str"/>
      <x:c r="K34" s="56" t="str"/>
      <x:c r="L34" s="56" t="str"/>
      <x:c r="M34" s="56" t="str"/>
      <x:c r="N34" s="56" t="str"/>
      <x:c r="O34" s="56" t="str"/>
    </x:row>
    <x:row r="35">
      <x:c r="A35" s="56" t="str"/>
      <x:c r="B35" s="56" t="str"/>
      <x:c r="C35" s="56" t="str"/>
      <x:c r="D35" s="56" t="str"/>
      <x:c r="E35" s="56" t="str"/>
      <x:c r="F35" s="56" t="str"/>
      <x:c r="G35" s="56" t="str"/>
      <x:c r="H35" s="56" t="str"/>
      <x:c r="I35" s="56" t="str"/>
      <x:c r="J35" s="56" t="str"/>
      <x:c r="K35" s="56" t="str"/>
      <x:c r="L35" s="56" t="str"/>
      <x:c r="M35" s="56" t="str"/>
      <x:c r="N35" s="56" t="str"/>
      <x:c r="O35" s="56" t="str"/>
    </x:row>
    <x:row r="36">
      <x:c r="A36" s="56" t="str"/>
      <x:c r="B36" s="56" t="str"/>
      <x:c r="C36" s="56" t="str"/>
      <x:c r="D36" s="56" t="str"/>
      <x:c r="E36" s="56" t="str"/>
      <x:c r="F36" s="56" t="str"/>
      <x:c r="G36" s="56" t="str"/>
      <x:c r="H36" s="56" t="str"/>
      <x:c r="I36" s="56" t="str"/>
      <x:c r="J36" s="56" t="str"/>
      <x:c r="K36" s="56" t="str"/>
      <x:c r="L36" s="56" t="str"/>
      <x:c r="M36" s="56" t="str"/>
      <x:c r="N36" s="56" t="str"/>
      <x:c r="O36" s="56" t="str"/>
    </x:row>
    <x:row r="37">
      <x:c r="A37" s="56" t="str"/>
      <x:c r="B37" s="56" t="str"/>
      <x:c r="C37" s="56" t="str"/>
      <x:c r="D37" s="56" t="str"/>
      <x:c r="E37" s="56" t="str"/>
      <x:c r="F37" s="56" t="str"/>
      <x:c r="G37" s="56" t="str"/>
      <x:c r="H37" s="56" t="str"/>
      <x:c r="I37" s="56" t="str"/>
      <x:c r="J37" s="56" t="str"/>
      <x:c r="K37" s="56" t="str"/>
      <x:c r="L37" s="56" t="str"/>
      <x:c r="M37" s="56" t="str"/>
      <x:c r="N37" s="56" t="str"/>
      <x:c r="O37" s="56" t="str"/>
    </x:row>
    <x:row r="38">
      <x:c r="A38" s="56" t="str"/>
      <x:c r="B38" s="56" t="str"/>
      <x:c r="C38" s="56" t="str"/>
      <x:c r="D38" s="56" t="str"/>
      <x:c r="E38" s="56" t="str"/>
      <x:c r="F38" s="56" t="str"/>
      <x:c r="G38" s="56" t="str"/>
      <x:c r="H38" s="56" t="str"/>
      <x:c r="I38" s="56" t="str"/>
      <x:c r="J38" s="56" t="str"/>
      <x:c r="K38" s="56" t="str"/>
      <x:c r="L38" s="56" t="str"/>
      <x:c r="M38" s="56" t="str"/>
      <x:c r="N38" s="56" t="str"/>
      <x:c r="O38" s="56" t="str"/>
    </x:row>
    <x:row r="39">
      <x:c r="A39" s="56" t="str"/>
      <x:c r="B39" s="56" t="str"/>
      <x:c r="C39" s="56" t="str"/>
      <x:c r="D39" s="56" t="str"/>
      <x:c r="E39" s="56" t="str"/>
      <x:c r="F39" s="56" t="str"/>
      <x:c r="G39" s="56" t="str"/>
      <x:c r="H39" s="56" t="str"/>
      <x:c r="I39" s="56" t="str"/>
      <x:c r="J39" s="56" t="str"/>
      <x:c r="K39" s="56" t="str"/>
      <x:c r="L39" s="56" t="str"/>
      <x:c r="M39" s="56" t="str"/>
      <x:c r="N39" s="56" t="str"/>
      <x:c r="O39" s="56" t="str"/>
    </x:row>
    <x:row r="40">
      <x:c r="A40" s="56" t="str"/>
      <x:c r="B40" s="56" t="str"/>
      <x:c r="C40" s="56" t="str"/>
      <x:c r="D40" s="56" t="str"/>
      <x:c r="E40" s="56" t="str"/>
      <x:c r="F40" s="56" t="str"/>
      <x:c r="G40" s="56" t="str"/>
      <x:c r="H40" s="56" t="str"/>
      <x:c r="I40" s="56" t="str"/>
      <x:c r="J40" s="56" t="str"/>
      <x:c r="K40" s="56" t="str"/>
      <x:c r="L40" s="56" t="str"/>
      <x:c r="M40" s="56" t="str"/>
      <x:c r="N40" s="56" t="str"/>
      <x:c r="O40" s="56" t="str"/>
    </x:row>
    <x:row r="41">
      <x:c r="A41" s="56" t="str"/>
      <x:c r="B41" s="56" t="str"/>
      <x:c r="C41" s="56" t="str"/>
      <x:c r="D41" s="56" t="str"/>
      <x:c r="E41" s="56" t="str"/>
      <x:c r="F41" s="56" t="str"/>
      <x:c r="G41" s="56" t="str"/>
      <x:c r="H41" s="56" t="str"/>
      <x:c r="I41" s="56" t="str"/>
      <x:c r="J41" s="56" t="str"/>
      <x:c r="K41" s="56" t="str"/>
      <x:c r="L41" s="56" t="str"/>
      <x:c r="M41" s="56" t="str"/>
      <x:c r="N41" s="56" t="str"/>
      <x:c r="O41" s="56" t="str"/>
    </x:row>
    <x:row r="42">
      <x:c r="A42" s="56" t="str"/>
      <x:c r="B42" s="56" t="str"/>
      <x:c r="C42" s="56" t="str"/>
      <x:c r="D42" s="56" t="str"/>
      <x:c r="E42" s="56" t="str"/>
      <x:c r="F42" s="56" t="str"/>
      <x:c r="G42" s="56" t="str"/>
      <x:c r="H42" s="56" t="str"/>
      <x:c r="I42" s="56" t="str"/>
      <x:c r="J42" s="56" t="str"/>
      <x:c r="K42" s="56" t="str"/>
      <x:c r="L42" s="56" t="str"/>
      <x:c r="M42" s="56" t="str"/>
      <x:c r="N42" s="56" t="str"/>
      <x:c r="O42" s="56" t="str"/>
    </x:row>
    <x:row r="43">
      <x:c r="A43" s="56" t="str"/>
      <x:c r="B43" s="56" t="str"/>
      <x:c r="C43" s="56" t="str"/>
      <x:c r="D43" s="56" t="str"/>
      <x:c r="E43" s="56" t="str"/>
      <x:c r="F43" s="56" t="str"/>
      <x:c r="G43" s="56" t="str"/>
      <x:c r="H43" s="56" t="str"/>
      <x:c r="I43" s="56" t="str"/>
      <x:c r="J43" s="56" t="str"/>
      <x:c r="K43" s="56" t="str"/>
      <x:c r="L43" s="56" t="str"/>
      <x:c r="M43" s="56" t="str"/>
      <x:c r="N43" s="56" t="str"/>
      <x:c r="O43" s="56" t="str"/>
    </x:row>
    <x:row r="44">
      <x:c r="A44" s="56" t="str"/>
      <x:c r="B44" s="56" t="str"/>
      <x:c r="C44" s="56" t="str"/>
      <x:c r="D44" s="56" t="str"/>
      <x:c r="E44" s="56" t="str"/>
      <x:c r="F44" s="56" t="str"/>
      <x:c r="G44" s="56" t="str"/>
      <x:c r="H44" s="56" t="str"/>
      <x:c r="I44" s="56" t="str"/>
      <x:c r="J44" s="56" t="str"/>
      <x:c r="K44" s="56" t="str"/>
      <x:c r="L44" s="56" t="str"/>
      <x:c r="M44" s="56" t="str"/>
      <x:c r="N44" s="56" t="str"/>
      <x:c r="O44" s="56" t="str"/>
    </x:row>
    <x:row r="45">
      <x:c r="A45" s="56" t="str"/>
      <x:c r="B45" s="56" t="str"/>
      <x:c r="C45" s="56" t="str"/>
      <x:c r="D45" s="56" t="str"/>
      <x:c r="E45" s="56" t="str"/>
      <x:c r="F45" s="56" t="str"/>
      <x:c r="G45" s="56" t="str"/>
      <x:c r="H45" s="56" t="str"/>
      <x:c r="I45" s="56" t="str"/>
      <x:c r="J45" s="56" t="str"/>
      <x:c r="K45" s="56" t="str"/>
      <x:c r="L45" s="56" t="str"/>
      <x:c r="M45" s="56" t="str"/>
      <x:c r="N45" s="56" t="str"/>
      <x:c r="O45" s="56" t="str"/>
    </x:row>
    <x:row r="46">
      <x:c r="A46" s="56" t="str"/>
      <x:c r="B46" s="56" t="str"/>
      <x:c r="C46" s="56" t="str"/>
      <x:c r="D46" s="56" t="str"/>
      <x:c r="E46" s="56" t="str"/>
      <x:c r="F46" s="56" t="str"/>
      <x:c r="G46" s="56" t="str"/>
      <x:c r="H46" s="56" t="str"/>
      <x:c r="I46" s="56" t="str"/>
      <x:c r="J46" s="56" t="str"/>
      <x:c r="K46" s="56" t="str"/>
      <x:c r="L46" s="56" t="str"/>
      <x:c r="M46" s="56" t="str"/>
      <x:c r="N46" s="56" t="str"/>
      <x:c r="O46" s="56" t="str"/>
    </x:row>
    <x:row r="47">
      <x:c r="A47" s="56" t="str"/>
      <x:c r="B47" s="56" t="str"/>
      <x:c r="C47" s="56" t="str"/>
      <x:c r="D47" s="56" t="str"/>
      <x:c r="E47" s="56" t="str"/>
      <x:c r="F47" s="56" t="str"/>
      <x:c r="G47" s="56" t="str"/>
      <x:c r="H47" s="56" t="str"/>
      <x:c r="I47" s="56" t="str"/>
      <x:c r="J47" s="56" t="str"/>
      <x:c r="K47" s="56" t="str"/>
      <x:c r="L47" s="56" t="str"/>
      <x:c r="M47" s="56" t="str"/>
      <x:c r="N47" s="56" t="str"/>
      <x:c r="O47" s="56" t="str"/>
    </x:row>
    <x:row r="48">
      <x:c r="A48" s="56" t="str"/>
      <x:c r="B48" s="56" t="str"/>
      <x:c r="C48" s="56" t="str"/>
      <x:c r="D48" s="56" t="str"/>
      <x:c r="E48" s="56" t="str"/>
      <x:c r="F48" s="56" t="str"/>
      <x:c r="G48" s="56" t="str"/>
      <x:c r="H48" s="56" t="str"/>
      <x:c r="I48" s="56" t="str"/>
      <x:c r="J48" s="56" t="str"/>
      <x:c r="K48" s="56" t="str"/>
      <x:c r="L48" s="56" t="str"/>
      <x:c r="M48" s="56" t="str"/>
      <x:c r="N48" s="56" t="str"/>
      <x:c r="O48" s="56" t="str"/>
    </x:row>
    <x:row r="49">
      <x:c r="A49" s="56" t="str"/>
      <x:c r="B49" s="56" t="str"/>
      <x:c r="C49" s="56" t="str"/>
      <x:c r="D49" s="56" t="str"/>
      <x:c r="E49" s="56" t="str"/>
      <x:c r="F49" s="56" t="str"/>
      <x:c r="G49" s="56" t="str"/>
      <x:c r="H49" s="56" t="str"/>
      <x:c r="I49" s="56" t="str"/>
      <x:c r="J49" s="56" t="str"/>
      <x:c r="K49" s="56" t="str"/>
      <x:c r="L49" s="56" t="str"/>
      <x:c r="M49" s="56" t="str"/>
      <x:c r="N49" s="56" t="str"/>
      <x:c r="O49" s="56" t="str"/>
    </x:row>
    <x:row r="50">
      <x:c r="A50" s="56" t="str"/>
      <x:c r="B50" s="56" t="str"/>
      <x:c r="C50" s="56" t="str"/>
      <x:c r="D50" s="56" t="str"/>
      <x:c r="E50" s="56" t="str"/>
      <x:c r="F50" s="56" t="str"/>
      <x:c r="G50" s="56" t="str"/>
      <x:c r="H50" s="56" t="str"/>
      <x:c r="I50" s="56" t="str"/>
      <x:c r="J50" s="56" t="str"/>
      <x:c r="K50" s="56" t="str"/>
      <x:c r="L50" s="56" t="str"/>
      <x:c r="M50" s="56" t="str"/>
      <x:c r="N50" s="56" t="str"/>
      <x:c r="O50" s="56" t="str"/>
    </x:row>
    <x:row r="51">
      <x:c r="A51" s="56" t="str"/>
      <x:c r="B51" s="56" t="str"/>
      <x:c r="C51" s="56" t="str"/>
      <x:c r="D51" s="56" t="str"/>
      <x:c r="E51" s="56" t="str"/>
      <x:c r="F51" s="56" t="str"/>
      <x:c r="G51" s="56" t="str"/>
      <x:c r="H51" s="56" t="str"/>
      <x:c r="I51" s="56" t="str"/>
      <x:c r="J51" s="56" t="str"/>
      <x:c r="K51" s="56" t="str"/>
      <x:c r="L51" s="56" t="str"/>
      <x:c r="M51" s="56" t="str"/>
      <x:c r="N51" s="56" t="str"/>
      <x:c r="O51" s="56" t="str"/>
    </x:row>
    <x:row r="52">
      <x:c r="A52" s="56" t="str"/>
      <x:c r="B52" s="56" t="str"/>
      <x:c r="C52" s="56" t="str"/>
      <x:c r="D52" s="56" t="str"/>
      <x:c r="E52" s="56" t="str"/>
      <x:c r="F52" s="56" t="str"/>
      <x:c r="G52" s="56" t="str"/>
      <x:c r="H52" s="56" t="str"/>
      <x:c r="I52" s="56" t="str"/>
      <x:c r="J52" s="56" t="str"/>
      <x:c r="K52" s="56" t="str"/>
      <x:c r="L52" s="56" t="str"/>
      <x:c r="M52" s="56" t="str"/>
      <x:c r="N52" s="56" t="str"/>
      <x:c r="O52" s="56" t="str"/>
    </x:row>
    <x:row r="53">
      <x:c r="A53" s="56" t="str"/>
      <x:c r="B53" s="56" t="str"/>
      <x:c r="C53" s="56" t="str"/>
      <x:c r="D53" s="56" t="str"/>
      <x:c r="E53" s="56" t="str"/>
      <x:c r="F53" s="56" t="str"/>
      <x:c r="G53" s="56" t="str"/>
      <x:c r="H53" s="56" t="str"/>
      <x:c r="I53" s="56" t="str"/>
      <x:c r="J53" s="56" t="str"/>
      <x:c r="K53" s="56" t="str"/>
      <x:c r="L53" s="56" t="str"/>
      <x:c r="M53" s="56" t="str"/>
      <x:c r="N53" s="56" t="str"/>
      <x:c r="O53" s="56" t="str"/>
    </x:row>
    <x:row r="54">
      <x:c r="A54" s="56" t="str"/>
      <x:c r="B54" s="56" t="str"/>
      <x:c r="C54" s="56" t="str"/>
      <x:c r="D54" s="56" t="str"/>
      <x:c r="E54" s="56" t="str"/>
      <x:c r="F54" s="56" t="str"/>
      <x:c r="G54" s="56" t="str"/>
      <x:c r="H54" s="56" t="str"/>
      <x:c r="I54" s="56" t="str"/>
      <x:c r="J54" s="56" t="str"/>
      <x:c r="K54" s="56" t="str"/>
      <x:c r="L54" s="56" t="str"/>
      <x:c r="M54" s="56" t="str"/>
      <x:c r="N54" s="56" t="str"/>
      <x:c r="O54" s="56" t="str"/>
    </x:row>
    <x:row r="55">
      <x:c r="A55" s="56" t="str"/>
      <x:c r="B55" s="56" t="str"/>
      <x:c r="C55" s="56" t="str"/>
      <x:c r="D55" s="56" t="str"/>
      <x:c r="E55" s="56" t="str"/>
      <x:c r="F55" s="56" t="str"/>
      <x:c r="G55" s="56" t="str"/>
      <x:c r="H55" s="56" t="str"/>
      <x:c r="I55" s="56" t="str"/>
      <x:c r="J55" s="56" t="str"/>
      <x:c r="K55" s="56" t="str"/>
      <x:c r="L55" s="56" t="str"/>
      <x:c r="M55" s="56" t="str"/>
      <x:c r="N55" s="56" t="str"/>
      <x:c r="O55" s="56" t="str"/>
    </x:row>
    <x:row r="56">
      <x:c r="A56" s="56" t="str"/>
      <x:c r="B56" s="56" t="str"/>
      <x:c r="C56" s="56" t="str"/>
      <x:c r="D56" s="56" t="str"/>
      <x:c r="E56" s="56" t="str"/>
      <x:c r="F56" s="56" t="str"/>
      <x:c r="G56" s="56" t="str"/>
      <x:c r="H56" s="56" t="str"/>
      <x:c r="I56" s="56" t="str"/>
      <x:c r="J56" s="56" t="str"/>
      <x:c r="K56" s="56" t="str"/>
      <x:c r="L56" s="56" t="str"/>
      <x:c r="M56" s="56" t="str"/>
      <x:c r="N56" s="56" t="str"/>
      <x:c r="O56" s="56" t="str"/>
    </x:row>
    <x:row r="57">
      <x:c r="A57" s="56" t="str"/>
      <x:c r="B57" s="56" t="str"/>
      <x:c r="C57" s="56" t="str"/>
      <x:c r="D57" s="56" t="str"/>
      <x:c r="E57" s="56" t="str"/>
      <x:c r="F57" s="56" t="str"/>
      <x:c r="G57" s="56" t="str"/>
      <x:c r="H57" s="56" t="str"/>
      <x:c r="I57" s="56" t="str"/>
      <x:c r="J57" s="56" t="str"/>
      <x:c r="K57" s="56" t="str"/>
      <x:c r="L57" s="56" t="str"/>
      <x:c r="M57" s="56" t="str"/>
      <x:c r="N57" s="56" t="str"/>
      <x:c r="O57" s="56" t="str"/>
    </x:row>
    <x:row r="58">
      <x:c r="A58" s="56" t="str"/>
      <x:c r="B58" s="56" t="str"/>
      <x:c r="C58" s="56" t="str"/>
      <x:c r="D58" s="56" t="str"/>
      <x:c r="E58" s="56" t="str"/>
      <x:c r="F58" s="56" t="str"/>
      <x:c r="G58" s="56" t="str"/>
      <x:c r="H58" s="56" t="str"/>
      <x:c r="I58" s="56" t="str"/>
      <x:c r="J58" s="56" t="str"/>
      <x:c r="K58" s="56" t="str"/>
      <x:c r="L58" s="56" t="str"/>
      <x:c r="M58" s="56" t="str"/>
      <x:c r="N58" s="56" t="str"/>
      <x:c r="O58" s="56" t="str"/>
    </x:row>
    <x:row r="59">
      <x:c r="A59" s="56" t="str"/>
      <x:c r="B59" s="56" t="str"/>
      <x:c r="C59" s="56" t="str"/>
      <x:c r="D59" s="56" t="str"/>
      <x:c r="E59" s="56" t="str"/>
      <x:c r="F59" s="56" t="str"/>
      <x:c r="G59" s="56" t="str"/>
      <x:c r="H59" s="56" t="str"/>
      <x:c r="I59" s="56" t="str"/>
      <x:c r="J59" s="56" t="str"/>
      <x:c r="K59" s="56" t="str"/>
      <x:c r="L59" s="56" t="str"/>
      <x:c r="M59" s="56" t="str"/>
      <x:c r="N59" s="56" t="str"/>
      <x:c r="O59" s="56" t="str"/>
    </x:row>
    <x:row r="60">
      <x:c r="A60" s="56" t="str"/>
      <x:c r="B60" s="56" t="str"/>
      <x:c r="C60" s="56" t="str"/>
      <x:c r="D60" s="56" t="str"/>
      <x:c r="E60" s="56" t="str"/>
      <x:c r="F60" s="56" t="str"/>
      <x:c r="G60" s="56" t="str"/>
      <x:c r="H60" s="56" t="str"/>
      <x:c r="I60" s="56" t="str"/>
      <x:c r="J60" s="56" t="str"/>
      <x:c r="K60" s="56" t="str"/>
      <x:c r="L60" s="56" t="str"/>
      <x:c r="M60" s="56" t="str"/>
      <x:c r="N60" s="56" t="str"/>
      <x:c r="O60" s="56" t="str"/>
    </x:row>
    <x:row r="61">
      <x:c r="A61" s="56" t="str"/>
      <x:c r="B61" s="56" t="str"/>
      <x:c r="C61" s="56" t="str"/>
      <x:c r="D61" s="56" t="str"/>
      <x:c r="E61" s="56" t="str"/>
      <x:c r="F61" s="56" t="str"/>
      <x:c r="G61" s="56" t="str"/>
      <x:c r="H61" s="56" t="str"/>
      <x:c r="I61" s="56" t="str"/>
      <x:c r="J61" s="56" t="str"/>
      <x:c r="K61" s="56" t="str"/>
      <x:c r="L61" s="56" t="str"/>
      <x:c r="M61" s="56" t="str"/>
      <x:c r="N61" s="56" t="str"/>
      <x:c r="O61" s="56" t="str"/>
    </x:row>
    <x:row r="62">
      <x:c r="A62" s="56" t="str"/>
      <x:c r="B62" s="56" t="str"/>
      <x:c r="C62" s="56" t="str"/>
      <x:c r="D62" s="56" t="str"/>
      <x:c r="E62" s="56" t="str"/>
      <x:c r="F62" s="56" t="str"/>
      <x:c r="G62" s="56" t="str"/>
      <x:c r="H62" s="56" t="str"/>
      <x:c r="I62" s="56" t="str"/>
      <x:c r="J62" s="56" t="str"/>
      <x:c r="K62" s="56" t="str"/>
      <x:c r="L62" s="56" t="str"/>
      <x:c r="M62" s="56" t="str"/>
      <x:c r="N62" s="56" t="str"/>
      <x:c r="O62" s="56" t="str"/>
    </x:row>
    <x:row r="63">
      <x:c r="A63" s="56" t="str"/>
      <x:c r="B63" s="56" t="str"/>
      <x:c r="C63" s="56" t="str"/>
      <x:c r="D63" s="56" t="str"/>
      <x:c r="E63" s="56" t="str"/>
      <x:c r="F63" s="56" t="str"/>
      <x:c r="G63" s="56" t="str"/>
      <x:c r="H63" s="56" t="str"/>
      <x:c r="I63" s="56" t="str"/>
      <x:c r="J63" s="56" t="str"/>
      <x:c r="K63" s="56" t="str"/>
      <x:c r="L63" s="56" t="str"/>
      <x:c r="M63" s="56" t="str"/>
      <x:c r="N63" s="56" t="str"/>
      <x:c r="O63" s="56" t="str"/>
    </x:row>
    <x:row r="64">
      <x:c r="A64" s="56" t="str"/>
      <x:c r="B64" s="56" t="str"/>
      <x:c r="C64" s="56" t="str"/>
      <x:c r="D64" s="56" t="str"/>
      <x:c r="E64" s="56" t="str"/>
      <x:c r="F64" s="56" t="str"/>
      <x:c r="G64" s="56" t="str"/>
      <x:c r="H64" s="56" t="str"/>
      <x:c r="I64" s="56" t="str"/>
      <x:c r="J64" s="56" t="str"/>
      <x:c r="K64" s="56" t="str"/>
      <x:c r="L64" s="56" t="str"/>
      <x:c r="M64" s="56" t="str"/>
      <x:c r="N64" s="56" t="str"/>
      <x:c r="O64" s="56" t="str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e4c36bbeeb9748f7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70" hidden="0" customWidth="1"/>
    <x:col min="4" max="4" width="42" hidden="0" customWidth="1"/>
    <x:col min="5" max="5" width="42" hidden="0" customWidth="1"/>
  </x:cols>
  <x:sheetData>
    <x:row r="1" ht="30" customHeight="1">
      <x:c r="A1" s="76" t="str">
        <x:v>REFERÊNCIAS, FONTES E AVISOS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</x:row>
    <x:row r="2" ht="28" customHeight="1">
      <x:c r="A2" s="15" t="str">
        <x:v>Links úteis e fontes-base para atualização/validação. URLs em texto simples para auditoria.</x:v>
      </x:c>
    </x:row>
    <x:row r="4">
      <x:c r="A4" s="24" t="str">
        <x:v>Tema</x:v>
      </x:c>
      <x:c r="B4" s="24" t="str">
        <x:v>Fonte</x:v>
      </x:c>
      <x:c r="C4" s="24" t="str">
        <x:v>URL</x:v>
      </x:c>
      <x:c r="D4" s="24" t="str">
        <x:v>Uso na planilha</x:v>
      </x:c>
      <x:c r="E4" s="24" t="str">
        <x:v>Observação</x:v>
      </x:c>
    </x:row>
    <x:row r="5">
      <x:c r="A5" s="56" t="str">
        <x:v>Sepse</x:v>
      </x:c>
      <x:c r="B5" s="56" t="str">
        <x:v>Surviving Sepsis Campaign/SCCM 2021</x:v>
      </x:c>
      <x:c r="C5" s="56" t="str">
        <x:v>https://www.sccm.org/clinical-resources/guidelines/guidelines/surviving-sepsis-guidelines-2021</x:v>
      </x:c>
      <x:c r="D5" s="56" t="str">
        <x:v>Bundle sepse/choque</x:v>
      </x:c>
      <x:c r="E5" s="56" t="str">
        <x:v>Verificar atualizações locais e novas diretrizes.</x:v>
      </x:c>
    </x:row>
    <x:row r="6">
      <x:c r="A6" s="56" t="str">
        <x:v>Sepse</x:v>
      </x:c>
      <x:c r="B6" s="56" t="str">
        <x:v>SSC Adult Guidelines</x:v>
      </x:c>
      <x:c r="C6" s="56" t="str">
        <x:v>https://sccm.org/survivingsepsiscampaign/guidelines-and-resources/surviving-sepsis-campaign-adult-guidelines</x:v>
      </x:c>
      <x:c r="D6" s="56" t="str">
        <x:v>Princípios de stewardship/descalonamento</x:v>
      </x:c>
      <x:c r="E6" s="56" t="str">
        <x:v>Fonte oficial SCCM.</x:v>
      </x:c>
    </x:row>
    <x:row r="7">
      <x:c r="A7" s="56" t="str">
        <x:v>AKI</x:v>
      </x:c>
      <x:c r="B7" s="56" t="str">
        <x:v>KDIGO AKI/AKD</x:v>
      </x:c>
      <x:c r="C7" s="56" t="str">
        <x:v>https://kdigo.org/guidelines/acute-kidney-injury/</x:v>
      </x:c>
      <x:c r="D7" s="56" t="str">
        <x:v>Função renal, LRA e ajustes</x:v>
      </x:c>
      <x:c r="E7" s="56" t="str">
        <x:v>Versões/drafts recentes devem ser validados antes de uso operacional.</x:v>
      </x:c>
    </x:row>
    <x:row r="8">
      <x:c r="A8" s="56" t="str">
        <x:v>Cateteres</x:v>
      </x:c>
      <x:c r="B8" s="56" t="str">
        <x:v>CDC intravascular catheter-related infection</x:v>
      </x:c>
      <x:c r="C8" s="56" t="str">
        <x:v>https://www.cdc.gov/infection-control/hcp/intravascular-catheter-related-infection/index.html</x:v>
      </x:c>
      <x:c r="D8" s="56" t="str">
        <x:v>Devices e prevenção de infecção</x:v>
      </x:c>
      <x:c r="E8" s="56" t="str">
        <x:v>Não trocar CVC por rotina para prevenir infecção; retirar se sem indicação.</x:v>
      </x:c>
    </x:row>
    <x:row r="9">
      <x:c r="A9" s="56" t="str">
        <x:v>Sedação/delirium</x:v>
      </x:c>
      <x:c r="B9" s="56" t="str">
        <x:v>SCCM PADIS Guidelines</x:v>
      </x:c>
      <x:c r="C9" s="56" t="str">
        <x:v>https://www.sccm.org/clinical-resources/guidelines/guidelines/padis-guidelines</x:v>
      </x:c>
      <x:c r="D9" s="56" t="str">
        <x:v>RASS/CAM-ICU/ABCDEF</x:v>
      </x:c>
      <x:c r="E9" s="56" t="str">
        <x:v>Atualizar conforme protocolos institucionais.</x:v>
      </x:c>
    </x:row>
    <x:row r="10">
      <x:c r="A10" s="56" t="str">
        <x:v>Ventilação/SDRA</x:v>
      </x:c>
      <x:c r="B10" s="56" t="str">
        <x:v>ARDSNet / NHLBI</x:v>
      </x:c>
      <x:c r="C10" s="56" t="str">
        <x:v>https://www.nhlbi.nih.gov/science/ardsnet</x:v>
      </x:c>
      <x:c r="D10" s="56" t="str">
        <x:v>Vt protetor, Pplatô, SDRA</x:v>
      </x:c>
      <x:c r="E10" s="56" t="str">
        <x:v>Checar protocolos locais e evidência recente.</x:v>
      </x:c>
    </x:row>
    <x:row r="11">
      <x:c r="A11" s="56" t="str">
        <x:v>Anticoagulação</x:v>
      </x:c>
      <x:c r="B11" s="56" t="str">
        <x:v>ASH Guidelines</x:v>
      </x:c>
      <x:c r="C11" s="56" t="str">
        <x:v>https://www.hematology.org/education/clinicians/guidelines-and-quality-care/clinical-practice-guidelines</x:v>
      </x:c>
      <x:c r="D11" s="56" t="str">
        <x:v>TEV, anticoagulação e reversão</x:v>
      </x:c>
      <x:c r="E11" s="56" t="str">
        <x:v>Individualizar por indicação e risco.</x:v>
      </x:c>
    </x:row>
    <x:row r="12">
      <x:c r="A12" s="56" t="str">
        <x:v>Aviso geral</x:v>
      </x:c>
      <x:c r="B12" s="56" t="str">
        <x:v>Bulas/protocolo institucional/farmácia clínica</x:v>
      </x:c>
      <x:c r="C12" s="56" t="str">
        <x:v>Fonte local</x:v>
      </x:c>
      <x:c r="D12" s="56" t="str">
        <x:v>Doses e ajustes renais</x:v>
      </x:c>
      <x:c r="E12" s="56" t="str">
        <x:v>Planilha não substitui validação clínica.</x:v>
      </x:c>
    </x:row>
    <x:row r="15">
      <x:c r="A15" s="35" t="str">
        <x:v>AVISO FINAL ⚠️: esta planilha é ferramenta de apoio, ensino e organização. Não substitui julgamento médico, protocolos locais, prescrição individualizada, bula oficial, infectologia, nefrologia, farmácia clínica, intensivista assistente ou discussão multiprofissional.</x:v>
      </x:c>
    </x:row>
  </x:sheetData>
  <x:mergeCells>
    <x:mergeCell ref="A1:E1"/>
    <x:mergeCell ref="A2:E2"/>
    <x:mergeCell ref="A15:E18"/>
  </x:mergeCells>
  <x:pageMargins left="0.7" right="0.7" top="0.75" bottom="0.75" header="0.3" footer="0.3"/>
  <x:tableParts count="1">
    <x:tablePart xmlns:r="http://schemas.openxmlformats.org/officeDocument/2006/relationships" r:id="R692d118242f7415a"/>
  </x:tableParts>
</x:worksheet>
</file>