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DASHBOARD UTI" sheetId="2" state="visible" r:id="rId2"/>
    <sheet xmlns:r="http://schemas.openxmlformats.org/officeDocument/2006/relationships" name="SAPS 3 E PRIORIDADE" sheetId="3" state="visible" r:id="rId3"/>
    <sheet xmlns:r="http://schemas.openxmlformats.org/officeDocument/2006/relationships" name="DEVICES" sheetId="4" state="visible" r:id="rId4"/>
    <sheet xmlns:r="http://schemas.openxmlformats.org/officeDocument/2006/relationships" name="DROGAS E SEDAÇÃO" sheetId="5" state="visible" r:id="rId5"/>
    <sheet xmlns:r="http://schemas.openxmlformats.org/officeDocument/2006/relationships" name="ATB AJUSTE RENAL" sheetId="6" state="visible" r:id="rId6"/>
    <sheet xmlns:r="http://schemas.openxmlformats.org/officeDocument/2006/relationships" name="MEDICAÇÕES AJUSTE RENAL" sheetId="7" state="visible" r:id="rId7"/>
    <sheet xmlns:r="http://schemas.openxmlformats.org/officeDocument/2006/relationships" name="ANTICOAGULAÇÃO REVERSÃO" sheetId="8" state="visible" r:id="rId8"/>
    <sheet xmlns:r="http://schemas.openxmlformats.org/officeDocument/2006/relationships" name="VENTILAÇÃO E GASOMETRIA" sheetId="9" state="visible" r:id="rId9"/>
    <sheet xmlns:r="http://schemas.openxmlformats.org/officeDocument/2006/relationships" name="SEPSE E CHOQUE" sheetId="10" state="visible" r:id="rId10"/>
    <sheet xmlns:r="http://schemas.openxmlformats.org/officeDocument/2006/relationships" name="CHECKLIST DIÁRIO" sheetId="11" state="visible" r:id="rId11"/>
    <sheet xmlns:r="http://schemas.openxmlformats.org/officeDocument/2006/relationships" name="CALCULADORAS CLÍNICAS" sheetId="12" state="visible" r:id="rId12"/>
    <sheet xmlns:r="http://schemas.openxmlformats.org/officeDocument/2006/relationships" name="FLUXOGRAMAS RÁPIDOS" sheetId="13" state="visible" r:id="rId13"/>
    <sheet xmlns:r="http://schemas.openxmlformats.org/officeDocument/2006/relationships" name="CONTRAINDICAÇÕES ALERTAS" sheetId="14" state="visible" r:id="rId14"/>
    <sheet xmlns:r="http://schemas.openxmlformats.org/officeDocument/2006/relationships" name="PASSAGEM DE PLANTÃO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4E78"/>
      <sz val="12"/>
    </font>
    <font>
      <name val="Arial"/>
      <b val="1"/>
      <color rgb="00FFFFFF"/>
      <sz val="10"/>
    </font>
    <font>
      <name val="Arial"/>
      <b val="1"/>
      <color rgb="00333333"/>
      <sz val="10"/>
    </font>
    <font>
      <name val="Arial"/>
      <color rgb="00333333"/>
      <sz val="10"/>
    </font>
    <font>
      <name val="Arial"/>
      <b val="1"/>
      <color rgb="000563C1"/>
      <sz val="10"/>
      <u val="single"/>
    </font>
    <font>
      <name val="Arial"/>
      <b val="1"/>
      <color rgb="00C00000"/>
      <sz val="10"/>
    </font>
    <font>
      <name val="Arial"/>
      <b val="1"/>
      <color rgb="007F6000"/>
      <sz val="10"/>
    </font>
    <font>
      <name val="Arial"/>
      <b val="1"/>
      <color rgb="00375623"/>
      <sz val="10"/>
    </font>
    <font>
      <name val="Arial"/>
      <i val="1"/>
      <color rgb="00555555"/>
      <sz val="9"/>
    </font>
  </fonts>
  <fills count="10">
    <fill>
      <patternFill/>
    </fill>
    <fill>
      <patternFill patternType="gray125"/>
    </fill>
    <fill>
      <patternFill patternType="solid">
        <fgColor rgb="0016365C"/>
        <bgColor rgb="0016365C"/>
      </patternFill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5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7" fillId="5" borderId="0" pivotButton="0" quotePrefix="0" xfId="0"/>
    <xf numFmtId="0" fontId="8" fillId="6" borderId="0" pivotButton="0" quotePrefix="0" xfId="0"/>
    <xf numFmtId="0" fontId="9" fillId="7" borderId="0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 wrapText="1"/>
    </xf>
    <xf numFmtId="0" fontId="10" fillId="0" borderId="1" pivotButton="0" quotePrefix="0" xfId="0"/>
    <xf numFmtId="0" fontId="10" fillId="4" borderId="1" pivotButton="0" quotePrefix="0" xfId="0"/>
    <xf numFmtId="164" fontId="4" fillId="8" borderId="1" pivotButton="0" quotePrefix="0" xfId="0"/>
    <xf numFmtId="0" fontId="3" fillId="9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165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164" fontId="2" fillId="8" borderId="1" pivotButton="0" quotePrefix="0" xfId="0"/>
    <xf numFmtId="2" fontId="4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 UTI'!A1" TargetMode="External" Id="rId1"/><Relationship Type="http://schemas.openxmlformats.org/officeDocument/2006/relationships/hyperlink" Target="#'SAPS 3 E PRIORIDADE'!A1" TargetMode="External" Id="rId2"/><Relationship Type="http://schemas.openxmlformats.org/officeDocument/2006/relationships/hyperlink" Target="#'DEVICES'!A1" TargetMode="External" Id="rId3"/><Relationship Type="http://schemas.openxmlformats.org/officeDocument/2006/relationships/hyperlink" Target="#'DROGAS E SEDA&#199;&#195;O'!A1" TargetMode="External" Id="rId4"/><Relationship Type="http://schemas.openxmlformats.org/officeDocument/2006/relationships/hyperlink" Target="#'ATB AJUSTE RENAL'!A1" TargetMode="External" Id="rId5"/><Relationship Type="http://schemas.openxmlformats.org/officeDocument/2006/relationships/hyperlink" Target="#'MEDICA&#199;&#213;ES AJUSTE RENAL'!A1" TargetMode="External" Id="rId6"/><Relationship Type="http://schemas.openxmlformats.org/officeDocument/2006/relationships/hyperlink" Target="#'ANTICOAGULA&#199;&#195;O REVERS&#195;O'!A1" TargetMode="External" Id="rId7"/><Relationship Type="http://schemas.openxmlformats.org/officeDocument/2006/relationships/hyperlink" Target="#'VENTILA&#199;&#195;O E GASOMETRIA'!A1" TargetMode="External" Id="rId8"/><Relationship Type="http://schemas.openxmlformats.org/officeDocument/2006/relationships/hyperlink" Target="#'SEPSE E CHOQUE'!A1" TargetMode="External" Id="rId9"/><Relationship Type="http://schemas.openxmlformats.org/officeDocument/2006/relationships/hyperlink" Target="#'CHECKLIST DI&#193;RIO'!A1" TargetMode="External" Id="rId10"/><Relationship Type="http://schemas.openxmlformats.org/officeDocument/2006/relationships/hyperlink" Target="#'CALCULADORAS CL&#205;NICAS'!A1" TargetMode="External" Id="rId11"/><Relationship Type="http://schemas.openxmlformats.org/officeDocument/2006/relationships/hyperlink" Target="#'FLUXOGRAMAS R&#193;PIDOS'!A1" TargetMode="External" Id="rId12"/><Relationship Type="http://schemas.openxmlformats.org/officeDocument/2006/relationships/hyperlink" Target="#'CONTRAINDICA&#199;&#213;ES ALERTAS'!A1" TargetMode="External" Id="rId13"/><Relationship Type="http://schemas.openxmlformats.org/officeDocument/2006/relationships/hyperlink" Target="#'PASSAGEM DE PLANT&#195;O'!A1" TargetMode="External" Id="rId14"/><Relationship Type="http://schemas.openxmlformats.org/officeDocument/2006/relationships/hyperlink" Target="#'REFER&#202;NCIAS E AVISOS'!A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139" customWidth="1" min="3" max="3"/>
    <col width="35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 ht="20" customHeight="1">
      <c r="A1" s="1" t="inlineStr">
        <is>
          <t xml:space="preserve">   PAINEL UTI - MANEJO CLÍNICO, DEVICES, DROGAS, SAPS 3 E CALCULADORAS   </t>
        </is>
      </c>
    </row>
    <row r="2" ht="20" customHeight="1"/>
    <row r="3"/>
    <row r="4" ht="25" customHeight="1">
      <c r="A4" s="2" t="inlineStr">
        <is>
          <t>Abas do Painel de Controle</t>
        </is>
      </c>
    </row>
    <row r="5" ht="25" customHeight="1">
      <c r="A5" s="3" t="inlineStr">
        <is>
          <t>Nº</t>
        </is>
      </c>
      <c r="B5" s="3" t="inlineStr">
        <is>
          <t>Nome da Aba</t>
        </is>
      </c>
      <c r="C5" s="3" t="inlineStr">
        <is>
          <t>Descrição / Objetivo de Uso Clínico à Beira-Leito</t>
        </is>
      </c>
      <c r="D5" s="3" t="inlineStr">
        <is>
          <t>Link de Acesso</t>
        </is>
      </c>
    </row>
    <row r="6" ht="22" customHeight="1">
      <c r="A6" s="4" t="n">
        <v>1</v>
      </c>
      <c r="B6" s="5" t="inlineStr">
        <is>
          <t>DASHBOARD UTI</t>
        </is>
      </c>
      <c r="C6" s="6" t="inlineStr">
        <is>
          <t>Visão geral e dinâmica dos pacientes internados na UTI, prioridades, ventilação, DVA, sedação e pendências do dia.</t>
        </is>
      </c>
      <c r="D6" s="7" t="inlineStr">
        <is>
          <t>Ir para DASHBOARD UTI</t>
        </is>
      </c>
    </row>
    <row r="7" ht="22" customHeight="1">
      <c r="A7" s="8" t="n">
        <v>2</v>
      </c>
      <c r="B7" s="9" t="inlineStr">
        <is>
          <t>SAPS 3 E PRIORIDADE</t>
        </is>
      </c>
      <c r="C7" s="10" t="inlineStr">
        <is>
          <t>Parâmetros e tabelas de interpretação do score prognóstico SAPS 3 e critérios de prioridade de internação (P1 a P4).</t>
        </is>
      </c>
      <c r="D7" s="11" t="inlineStr">
        <is>
          <t>Ir para SAPS 3 E PRIORIDADE</t>
        </is>
      </c>
    </row>
    <row r="8" ht="22" customHeight="1">
      <c r="A8" s="4" t="n">
        <v>3</v>
      </c>
      <c r="B8" s="5" t="inlineStr">
        <is>
          <t>DEVICES</t>
        </is>
      </c>
      <c r="C8" s="6" t="inlineStr">
        <is>
          <t>Manejo e controle de tempo de permanência de dispositivos invasivos, alertas de troca e critérios de infecção.</t>
        </is>
      </c>
      <c r="D8" s="7" t="inlineStr">
        <is>
          <t>Ir para DEVICES</t>
        </is>
      </c>
    </row>
    <row r="9" ht="22" customHeight="1">
      <c r="A9" s="8" t="n">
        <v>4</v>
      </c>
      <c r="B9" s="9" t="inlineStr">
        <is>
          <t>DROGAS E SEDAÇÃO</t>
        </is>
      </c>
      <c r="C9" s="10" t="inlineStr">
        <is>
          <t>Guia rápido de diluições, doses, vias de escolha e cuidados críticos com DVA, sedativos, analgésicos e bloqueadores musculares.</t>
        </is>
      </c>
      <c r="D9" s="11" t="inlineStr">
        <is>
          <t>Ir para DROGAS E SEDAÇÃO</t>
        </is>
      </c>
    </row>
    <row r="10" ht="22" customHeight="1">
      <c r="A10" s="4" t="n">
        <v>5</v>
      </c>
      <c r="B10" s="5" t="inlineStr">
        <is>
          <t>ATB AJUSTE RENAL</t>
        </is>
      </c>
      <c r="C10" s="6" t="inlineStr">
        <is>
          <t>Tabela completa de adequação posológica de antimicrobianos conforme o clearance de creatinina e métodos de diálise.</t>
        </is>
      </c>
      <c r="D10" s="7" t="inlineStr">
        <is>
          <t>Ir para ATB AJUSTE RENAL</t>
        </is>
      </c>
    </row>
    <row r="11" ht="22" customHeight="1">
      <c r="A11" s="8" t="n">
        <v>6</v>
      </c>
      <c r="B11" s="9" t="inlineStr">
        <is>
          <t>MEDICAÇÕES AJUSTE RENAL</t>
        </is>
      </c>
      <c r="C11" s="10" t="inlineStr">
        <is>
          <t>Ajuste de doses para medicações comuns não antibióticas (anticonvulsivantes, anticoagulantes, analgésicos, etc.) na LRA/IRC.</t>
        </is>
      </c>
      <c r="D11" s="11" t="inlineStr">
        <is>
          <t>Ir para MEDICAÇÕES AJUSTE RENAL</t>
        </is>
      </c>
    </row>
    <row r="12" ht="22" customHeight="1">
      <c r="A12" s="4" t="n">
        <v>7</v>
      </c>
      <c r="B12" s="5" t="inlineStr">
        <is>
          <t>ANTICOAGULAÇÃO REVERSÃO</t>
        </is>
      </c>
      <c r="C12" s="6" t="inlineStr">
        <is>
          <t>Condutas de profilaxia e anticoagulação plena, monitorização, manejo de sangramentos e agentes de reversão específica.</t>
        </is>
      </c>
      <c r="D12" s="7" t="inlineStr">
        <is>
          <t>Ir para ANTICOAGULAÇÃO REVERSÃO</t>
        </is>
      </c>
    </row>
    <row r="13" ht="22" customHeight="1">
      <c r="A13" s="8" t="n">
        <v>8</v>
      </c>
      <c r="B13" s="9" t="inlineStr">
        <is>
          <t>VENTILAÇÃO E GASOMETRIA</t>
        </is>
      </c>
      <c r="C13" s="10" t="inlineStr">
        <is>
          <t>Calculadoras de peso predito, volume corrente ideal protetor, driving pressure, complacência e manejo ácido-base/gasométrico.</t>
        </is>
      </c>
      <c r="D13" s="11" t="inlineStr">
        <is>
          <t>Ir para VENTILAÇÃO E GASOMETRIA</t>
        </is>
      </c>
    </row>
    <row r="14" ht="22" customHeight="1">
      <c r="A14" s="4" t="n">
        <v>9</v>
      </c>
      <c r="B14" s="5" t="inlineStr">
        <is>
          <t>SEPSE E CHOQUE</t>
        </is>
      </c>
      <c r="C14" s="6" t="inlineStr">
        <is>
          <t>Bundle de ressuscitação da Surviving Sepsis Campaign, critérios do escore SOFA/qSOFA e fluxograma clínico rápido.</t>
        </is>
      </c>
      <c r="D14" s="7" t="inlineStr">
        <is>
          <t>Ir para SEPSE E CHOQUE</t>
        </is>
      </c>
    </row>
    <row r="15" ht="22" customHeight="1">
      <c r="A15" s="8" t="n">
        <v>10</v>
      </c>
      <c r="B15" s="9" t="inlineStr">
        <is>
          <t>CHECKLIST DIÁRIO</t>
        </is>
      </c>
      <c r="C15" s="10" t="inlineStr">
        <is>
          <t>Checklist de verificação beira-leito (FAST-HUG-BID modificado) com cálculo automático da taxa de completude assistencial.</t>
        </is>
      </c>
      <c r="D15" s="11" t="inlineStr">
        <is>
          <t>Ir para CHECKLIST DIÁRIO</t>
        </is>
      </c>
    </row>
    <row r="16" ht="22" customHeight="1">
      <c r="A16" s="4" t="n">
        <v>11</v>
      </c>
      <c r="B16" s="5" t="inlineStr">
        <is>
          <t>CALCULADORAS CLÍNICAS</t>
        </is>
      </c>
      <c r="C16" s="6" t="inlineStr">
        <is>
          <t>Calculadoras e ferramentas interativas (Cockcroft-Gault, Osmolaridade, IMC, noradrenalina em mcg/kg/min e protocolo de insulina em BIC).</t>
        </is>
      </c>
      <c r="D16" s="7" t="inlineStr">
        <is>
          <t>Ir para CALCULADORAS CLÍNICAS</t>
        </is>
      </c>
    </row>
    <row r="17" ht="22" customHeight="1">
      <c r="A17" s="8" t="n">
        <v>12</v>
      </c>
      <c r="B17" s="9" t="inlineStr">
        <is>
          <t>FLUXOGRAMAS RÁPIDOS</t>
        </is>
      </c>
      <c r="C17" s="10" t="inlineStr">
        <is>
          <t>Algoritmos textuais para condutas imediatas em 20 emergências comuns da UTI adulto (choques, distúrbios, convulsões).</t>
        </is>
      </c>
      <c r="D17" s="11" t="inlineStr">
        <is>
          <t>Ir para FLUXOGRAMAS RÁPIDOS</t>
        </is>
      </c>
    </row>
    <row r="18" ht="22" customHeight="1">
      <c r="A18" s="4" t="n">
        <v>13</v>
      </c>
      <c r="B18" s="5" t="inlineStr">
        <is>
          <t>CONTRAINDICAÇÕES ALERTAS</t>
        </is>
      </c>
      <c r="C18" s="6" t="inlineStr">
        <is>
          <t>Painel de segurança do paciente contra interações nefrotóxicas, drogas prolongadoras de QT, risco de delirium e ajustes em hepatopatas.</t>
        </is>
      </c>
      <c r="D18" s="7" t="inlineStr">
        <is>
          <t>Ir para CONTRAINDICAÇÕES ALERTAS</t>
        </is>
      </c>
    </row>
    <row r="19" ht="22" customHeight="1">
      <c r="A19" s="8" t="n">
        <v>14</v>
      </c>
      <c r="B19" s="9" t="inlineStr">
        <is>
          <t>PASSAGEM DE PLANTÃO</t>
        </is>
      </c>
      <c r="C19" s="10" t="inlineStr">
        <is>
          <t>Modelo estruturado por sistemas para passagem de plantão rápida, segura e padronizada (Handover).</t>
        </is>
      </c>
      <c r="D19" s="11" t="inlineStr">
        <is>
          <t>Ir para PASSAGEM DE PLANTÃO</t>
        </is>
      </c>
    </row>
    <row r="20" ht="22" customHeight="1">
      <c r="A20" s="4" t="n">
        <v>15</v>
      </c>
      <c r="B20" s="5" t="inlineStr">
        <is>
          <t>REFERÊNCIAS E AVISOS</t>
        </is>
      </c>
      <c r="C20" s="6" t="inlineStr">
        <is>
          <t>Fontes das diretrizes científicas utilizadas e o termo de responsabilidade/isenção legal médico-hospitalar.</t>
        </is>
      </c>
      <c r="D20" s="7" t="inlineStr">
        <is>
          <t>Ir para REFERÊNCIAS E AVISOS</t>
        </is>
      </c>
    </row>
  </sheetData>
  <mergeCells count="1">
    <mergeCell ref="A1:Z2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6" r:id="rId11"/>
    <hyperlink xmlns:r="http://schemas.openxmlformats.org/officeDocument/2006/relationships" ref="D17" r:id="rId12"/>
    <hyperlink xmlns:r="http://schemas.openxmlformats.org/officeDocument/2006/relationships" ref="D18" r:id="rId13"/>
    <hyperlink xmlns:r="http://schemas.openxmlformats.org/officeDocument/2006/relationships" ref="D19" r:id="rId14"/>
    <hyperlink xmlns:r="http://schemas.openxmlformats.org/officeDocument/2006/relationships" ref="D20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21" customWidth="1" min="3" max="3"/>
    <col width="13" customWidth="1" min="4" max="4"/>
    <col width="16" customWidth="1" min="5" max="5"/>
    <col width="39" customWidth="1" min="6" max="6"/>
    <col width="33" customWidth="1" min="7" max="7"/>
    <col width="11" customWidth="1" min="8" max="8"/>
    <col width="16" customWidth="1" min="9" max="9"/>
    <col width="13" customWidth="1" min="10" max="10"/>
    <col width="13" customWidth="1" min="11" max="11"/>
    <col width="11" customWidth="1" min="12" max="12"/>
    <col width="29" customWidth="1" min="13" max="13"/>
    <col width="11" customWidth="1" min="14" max="14"/>
    <col width="12" customWidth="1" min="15" max="15"/>
    <col width="14" customWidth="1" min="16" max="16"/>
    <col width="21" customWidth="1" min="17" max="17"/>
    <col width="11" customWidth="1" min="18" max="18"/>
    <col width="21" customWidth="1" min="19" max="19"/>
    <col width="15" customWidth="1" min="20" max="20"/>
    <col width="28" customWidth="1" min="21" max="21"/>
    <col width="26" customWidth="1" min="22" max="22"/>
    <col width="27" customWidth="1" min="23" max="23"/>
    <col width="30" customWidth="1" min="24" max="24"/>
    <col width="33" customWidth="1" min="25" max="25"/>
    <col width="15" customWidth="1" min="26" max="26"/>
  </cols>
  <sheetData>
    <row r="1" ht="20" customHeight="1">
      <c r="A1" s="1" t="inlineStr">
        <is>
          <t xml:space="preserve">   PAINEL UTI ADULTO - DASHBOARD DINÂMICO DE PACIENTES   </t>
        </is>
      </c>
    </row>
    <row r="2" ht="20" customHeight="1"/>
    <row r="3"/>
    <row r="4">
      <c r="A4" s="12" t="inlineStr">
        <is>
          <t>Legenda de Risco / Alertas:</t>
        </is>
      </c>
      <c r="C4" s="13" t="inlineStr">
        <is>
          <t>Crítico / P1 / DVA</t>
        </is>
      </c>
      <c r="E4" s="14" t="inlineStr">
        <is>
          <t>Atenção / Mod</t>
        </is>
      </c>
      <c r="G4" s="15" t="inlineStr">
        <is>
          <t>Adequado / Baixo</t>
        </is>
      </c>
    </row>
    <row r="5" ht="28" customHeight="1">
      <c r="A5" s="3" t="inlineStr">
        <is>
          <t>Leito</t>
        </is>
      </c>
      <c r="B5" s="3" t="inlineStr">
        <is>
          <t>Nome/Iniciais</t>
        </is>
      </c>
      <c r="C5" s="3" t="inlineStr">
        <is>
          <t>Idade</t>
        </is>
      </c>
      <c r="D5" s="3" t="inlineStr">
        <is>
          <t>Adm Hosp</t>
        </is>
      </c>
      <c r="E5" s="3" t="inlineStr">
        <is>
          <t>Adm UTI</t>
        </is>
      </c>
      <c r="F5" s="3" t="inlineStr">
        <is>
          <t>Diagnóstico Principal</t>
        </is>
      </c>
      <c r="G5" s="3" t="inlineStr">
        <is>
          <t>Problemas Ativos</t>
        </is>
      </c>
      <c r="H5" s="3" t="inlineStr">
        <is>
          <t>SAPS 3</t>
        </is>
      </c>
      <c r="I5" s="3" t="inlineStr">
        <is>
          <t>Mortalidade %</t>
        </is>
      </c>
      <c r="J5" s="3" t="inlineStr">
        <is>
          <t>Prioridade</t>
        </is>
      </c>
      <c r="K5" s="3" t="inlineStr">
        <is>
          <t>Ventilação</t>
        </is>
      </c>
      <c r="L5" s="3" t="inlineStr">
        <is>
          <t>DVA</t>
        </is>
      </c>
      <c r="M5" s="3" t="inlineStr">
        <is>
          <t>Noradrenalina (mcg/kg/min)</t>
        </is>
      </c>
      <c r="N5" s="3" t="inlineStr">
        <is>
          <t>Sedação</t>
        </is>
      </c>
      <c r="O5" s="3" t="inlineStr">
        <is>
          <t>RASS Alvo</t>
        </is>
      </c>
      <c r="P5" s="3" t="inlineStr">
        <is>
          <t>CAM-ICU</t>
        </is>
      </c>
      <c r="Q5" s="3" t="inlineStr">
        <is>
          <t>Antibioticoterapia</t>
        </is>
      </c>
      <c r="R5" s="3" t="inlineStr">
        <is>
          <t>Dias ATB</t>
        </is>
      </c>
      <c r="S5" s="3" t="inlineStr">
        <is>
          <t>Culturas Pendentes</t>
        </is>
      </c>
      <c r="T5" s="3" t="inlineStr">
        <is>
          <t>Função Renal</t>
        </is>
      </c>
      <c r="U5" s="3" t="inlineStr">
        <is>
          <t>Anticoagulação</t>
        </is>
      </c>
      <c r="V5" s="3" t="inlineStr">
        <is>
          <t>Devices</t>
        </is>
      </c>
      <c r="W5" s="3" t="inlineStr">
        <is>
          <t>Pendências</t>
        </is>
      </c>
      <c r="X5" s="3" t="inlineStr">
        <is>
          <t>Meta 24h</t>
        </is>
      </c>
      <c r="Y5" s="3" t="inlineStr">
        <is>
          <t>Critérios Alta</t>
        </is>
      </c>
      <c r="Z5" s="3" t="inlineStr">
        <is>
          <t>Risco Global</t>
        </is>
      </c>
    </row>
    <row r="6" ht="24" customHeight="1">
      <c r="A6" s="16" t="inlineStr">
        <is>
          <t>Leito 01</t>
        </is>
      </c>
      <c r="B6" s="16" t="inlineStr">
        <is>
          <t>A.R.O.</t>
        </is>
      </c>
      <c r="C6" s="17" t="n">
        <v>68</v>
      </c>
      <c r="D6" s="18" t="inlineStr">
        <is>
          <t>2026-05-10</t>
        </is>
      </c>
      <c r="E6" s="18" t="inlineStr">
        <is>
          <t>2026-05-12</t>
        </is>
      </c>
      <c r="F6" s="16" t="inlineStr">
        <is>
          <t>Choque Séptico de foco abdominal</t>
        </is>
      </c>
      <c r="G6" s="16" t="inlineStr">
        <is>
          <t>LRA KDIGO 3, Acidose</t>
        </is>
      </c>
      <c r="H6" s="17" t="n">
        <v>72</v>
      </c>
      <c r="I6" s="19" t="n">
        <v>0.45</v>
      </c>
      <c r="J6" s="20" t="inlineStr">
        <is>
          <t>P1</t>
        </is>
      </c>
      <c r="K6" s="20" t="inlineStr">
        <is>
          <t>IOT</t>
        </is>
      </c>
      <c r="L6" s="20" t="inlineStr">
        <is>
          <t>Sim</t>
        </is>
      </c>
      <c r="M6" s="18" t="n">
        <v>0.35</v>
      </c>
      <c r="N6" s="18" t="inlineStr">
        <is>
          <t>Sim</t>
        </is>
      </c>
      <c r="O6" s="18" t="inlineStr">
        <is>
          <t>-3</t>
        </is>
      </c>
      <c r="P6" s="18" t="inlineStr">
        <is>
          <t>Negativo</t>
        </is>
      </c>
      <c r="Q6" s="16" t="inlineStr">
        <is>
          <t>Meropenem</t>
        </is>
      </c>
      <c r="R6" s="17" t="n">
        <v>6</v>
      </c>
      <c r="S6" s="16" t="inlineStr">
        <is>
          <t>Hemoculturas (par)</t>
        </is>
      </c>
      <c r="T6" s="20" t="inlineStr">
        <is>
          <t>HD</t>
        </is>
      </c>
      <c r="U6" s="16" t="inlineStr">
        <is>
          <t>Profilática</t>
        </is>
      </c>
      <c r="V6" s="16" t="inlineStr">
        <is>
          <t>CVC, PAM, SVD</t>
        </is>
      </c>
      <c r="W6" s="16" t="inlineStr">
        <is>
          <t>Coletar Urina 24h</t>
        </is>
      </c>
      <c r="X6" s="16" t="inlineStr">
        <is>
          <t>Desmame de Noradrenalina</t>
        </is>
      </c>
      <c r="Y6" s="16" t="inlineStr">
        <is>
          <t>Resolução do choque</t>
        </is>
      </c>
      <c r="Z6" s="20" t="inlineStr">
        <is>
          <t>Crítico</t>
        </is>
      </c>
    </row>
    <row r="7" ht="24" customHeight="1">
      <c r="A7" s="16" t="inlineStr">
        <is>
          <t>Leito 02</t>
        </is>
      </c>
      <c r="B7" s="16" t="inlineStr">
        <is>
          <t>M.J.S.</t>
        </is>
      </c>
      <c r="C7" s="17" t="n">
        <v>45</v>
      </c>
      <c r="D7" s="18" t="inlineStr">
        <is>
          <t>2026-05-15</t>
        </is>
      </c>
      <c r="E7" s="18" t="inlineStr">
        <is>
          <t>2026-05-15</t>
        </is>
      </c>
      <c r="F7" s="16" t="inlineStr">
        <is>
          <t>Pós-Op Colectomia Total</t>
        </is>
      </c>
      <c r="G7" s="16" t="inlineStr">
        <is>
          <t>Íleo paralítico temporário</t>
        </is>
      </c>
      <c r="H7" s="17" t="n">
        <v>34</v>
      </c>
      <c r="I7" s="19" t="n">
        <v>0.08</v>
      </c>
      <c r="J7" s="18" t="inlineStr">
        <is>
          <t>P2</t>
        </is>
      </c>
      <c r="K7" s="18" t="inlineStr">
        <is>
          <t>O2</t>
        </is>
      </c>
      <c r="L7" s="18" t="inlineStr">
        <is>
          <t>Não</t>
        </is>
      </c>
      <c r="M7" s="18" t="n">
        <v>0</v>
      </c>
      <c r="N7" s="18" t="inlineStr">
        <is>
          <t>Não</t>
        </is>
      </c>
      <c r="O7" s="18" t="inlineStr">
        <is>
          <t>0</t>
        </is>
      </c>
      <c r="P7" s="18" t="inlineStr">
        <is>
          <t>Negativo</t>
        </is>
      </c>
      <c r="Q7" s="16" t="inlineStr">
        <is>
          <t>Ceftriaxona</t>
        </is>
      </c>
      <c r="R7" s="17" t="n">
        <v>3</v>
      </c>
      <c r="S7" s="16" t="inlineStr">
        <is>
          <t>Nenhuma</t>
        </is>
      </c>
      <c r="T7" s="18" t="inlineStr">
        <is>
          <t>Normal</t>
        </is>
      </c>
      <c r="U7" s="16" t="inlineStr">
        <is>
          <t>Profilática</t>
        </is>
      </c>
      <c r="V7" s="16" t="inlineStr">
        <is>
          <t>CVC, SVD</t>
        </is>
      </c>
      <c r="W7" s="16" t="inlineStr">
        <is>
          <t>Progredir dieta enteral</t>
        </is>
      </c>
      <c r="X7" s="16" t="inlineStr">
        <is>
          <t>Retirar CVC hoje</t>
        </is>
      </c>
      <c r="Y7" s="16" t="inlineStr">
        <is>
          <t>Estabilidade hemodinâmica</t>
        </is>
      </c>
      <c r="Z7" s="21" t="inlineStr">
        <is>
          <t>Moderado</t>
        </is>
      </c>
    </row>
    <row r="8" ht="24" customHeight="1">
      <c r="A8" s="16" t="inlineStr">
        <is>
          <t>Leito 03</t>
        </is>
      </c>
      <c r="B8" s="16" t="inlineStr">
        <is>
          <t>F.A.G.</t>
        </is>
      </c>
      <c r="C8" s="17" t="n">
        <v>79</v>
      </c>
      <c r="D8" s="18" t="inlineStr">
        <is>
          <t>2026-05-01</t>
        </is>
      </c>
      <c r="E8" s="18" t="inlineStr">
        <is>
          <t>2026-05-02</t>
        </is>
      </c>
      <c r="F8" s="16" t="inlineStr">
        <is>
          <t>Pneumonia Grave (SDRA)</t>
        </is>
      </c>
      <c r="G8" s="16" t="inlineStr">
        <is>
          <t>Fibrose pulmonar prévia</t>
        </is>
      </c>
      <c r="H8" s="17" t="n">
        <v>81</v>
      </c>
      <c r="I8" s="19" t="n">
        <v>0.62</v>
      </c>
      <c r="J8" s="20" t="inlineStr">
        <is>
          <t>P1</t>
        </is>
      </c>
      <c r="K8" s="20" t="inlineStr">
        <is>
          <t>IOT</t>
        </is>
      </c>
      <c r="L8" s="20" t="inlineStr">
        <is>
          <t>Sim</t>
        </is>
      </c>
      <c r="M8" s="18" t="n">
        <v>0.08</v>
      </c>
      <c r="N8" s="18" t="inlineStr">
        <is>
          <t>Sim</t>
        </is>
      </c>
      <c r="O8" s="18" t="inlineStr">
        <is>
          <t>-4</t>
        </is>
      </c>
      <c r="P8" s="18" t="inlineStr">
        <is>
          <t>Inavaliável</t>
        </is>
      </c>
      <c r="Q8" s="16" t="inlineStr">
        <is>
          <t>Piperacilina/Tazo</t>
        </is>
      </c>
      <c r="R8" s="22" t="n">
        <v>10</v>
      </c>
      <c r="S8" s="16" t="inlineStr">
        <is>
          <t>Aspirado Traqueal</t>
        </is>
      </c>
      <c r="T8" s="18" t="inlineStr">
        <is>
          <t>LRA KDIGO 1</t>
        </is>
      </c>
      <c r="U8" s="16" t="inlineStr">
        <is>
          <t>Susensa</t>
        </is>
      </c>
      <c r="V8" s="16" t="inlineStr">
        <is>
          <t>TOT, CVC, PAM, SVD, SNE</t>
        </is>
      </c>
      <c r="W8" s="16" t="inlineStr">
        <is>
          <t>Discutir paliação / teto</t>
        </is>
      </c>
      <c r="X8" s="16" t="inlineStr">
        <is>
          <t>Manter sedação protetora</t>
        </is>
      </c>
      <c r="Y8" s="16" t="inlineStr">
        <is>
          <t>Sem critérios no momento</t>
        </is>
      </c>
      <c r="Z8" s="20" t="inlineStr">
        <is>
          <t>Crítico</t>
        </is>
      </c>
    </row>
    <row r="9" ht="24" customHeight="1">
      <c r="A9" s="16" t="inlineStr">
        <is>
          <t>Leito 04</t>
        </is>
      </c>
      <c r="B9" s="16" t="inlineStr">
        <is>
          <t>R.B.M.</t>
        </is>
      </c>
      <c r="C9" s="17" t="n">
        <v>52</v>
      </c>
      <c r="D9" s="18" t="inlineStr">
        <is>
          <t>2026-05-17</t>
        </is>
      </c>
      <c r="E9" s="18" t="inlineStr">
        <is>
          <t>2026-05-17</t>
        </is>
      </c>
      <c r="F9" s="16" t="inlineStr">
        <is>
          <t>HIC Traumática</t>
        </is>
      </c>
      <c r="G9" s="16" t="inlineStr">
        <is>
          <t>Edema cerebral moderado</t>
        </is>
      </c>
      <c r="H9" s="17" t="n">
        <v>48</v>
      </c>
      <c r="I9" s="19" t="n">
        <v>0.18</v>
      </c>
      <c r="J9" s="20" t="inlineStr">
        <is>
          <t>P1</t>
        </is>
      </c>
      <c r="K9" s="20" t="inlineStr">
        <is>
          <t>IOT</t>
        </is>
      </c>
      <c r="L9" s="18" t="inlineStr">
        <is>
          <t>Não</t>
        </is>
      </c>
      <c r="M9" s="18" t="n">
        <v>0</v>
      </c>
      <c r="N9" s="18" t="inlineStr">
        <is>
          <t>Sim</t>
        </is>
      </c>
      <c r="O9" s="18" t="inlineStr">
        <is>
          <t>-2</t>
        </is>
      </c>
      <c r="P9" s="18" t="inlineStr">
        <is>
          <t>Negativo</t>
        </is>
      </c>
      <c r="Q9" s="16" t="inlineStr">
        <is>
          <t>Nenhum</t>
        </is>
      </c>
      <c r="R9" s="17" t="n">
        <v>0</v>
      </c>
      <c r="S9" s="16" t="inlineStr">
        <is>
          <t>Nenhuma</t>
        </is>
      </c>
      <c r="T9" s="18" t="inlineStr">
        <is>
          <t>Normal</t>
        </is>
      </c>
      <c r="U9" s="16" t="inlineStr">
        <is>
          <t>Plena (Fibrilação Atrial)</t>
        </is>
      </c>
      <c r="V9" s="16" t="inlineStr">
        <is>
          <t>TOT, CVC, PAM, SVD</t>
        </is>
      </c>
      <c r="W9" s="16" t="inlineStr">
        <is>
          <t>TC de crânio de controle</t>
        </is>
      </c>
      <c r="X9" s="16" t="inlineStr">
        <is>
          <t>Janela neurológica</t>
        </is>
      </c>
      <c r="Y9" s="16" t="inlineStr">
        <is>
          <t>Estabilidade neurológica</t>
        </is>
      </c>
      <c r="Z9" s="20" t="inlineStr">
        <is>
          <t>Alto</t>
        </is>
      </c>
    </row>
    <row r="10" ht="24" customHeight="1">
      <c r="A10" s="16" t="inlineStr">
        <is>
          <t>Leito 05</t>
        </is>
      </c>
      <c r="B10" s="16" t="inlineStr">
        <is>
          <t>C.E.L.</t>
        </is>
      </c>
      <c r="C10" s="17" t="n">
        <v>61</v>
      </c>
      <c r="D10" s="18" t="inlineStr">
        <is>
          <t>2026-05-14</t>
        </is>
      </c>
      <c r="E10" s="18" t="inlineStr">
        <is>
          <t>2026-05-16</t>
        </is>
      </c>
      <c r="F10" s="16" t="inlineStr">
        <is>
          <t>Insuficiência Cardíaca Descompensada</t>
        </is>
      </c>
      <c r="G10" s="16" t="inlineStr">
        <is>
          <t>Congestão sistêmica refratária</t>
        </is>
      </c>
      <c r="H10" s="17" t="n">
        <v>50</v>
      </c>
      <c r="I10" s="19" t="n">
        <v>0.2</v>
      </c>
      <c r="J10" s="18" t="inlineStr">
        <is>
          <t>P2</t>
        </is>
      </c>
      <c r="K10" s="18" t="inlineStr">
        <is>
          <t>VNI</t>
        </is>
      </c>
      <c r="L10" s="18" t="inlineStr">
        <is>
          <t>Não</t>
        </is>
      </c>
      <c r="M10" s="18" t="n">
        <v>0</v>
      </c>
      <c r="N10" s="18" t="inlineStr">
        <is>
          <t>Não</t>
        </is>
      </c>
      <c r="O10" s="18" t="inlineStr">
        <is>
          <t>0</t>
        </is>
      </c>
      <c r="P10" s="18" t="inlineStr">
        <is>
          <t>Positivo</t>
        </is>
      </c>
      <c r="Q10" s="16" t="inlineStr">
        <is>
          <t>Nenhum</t>
        </is>
      </c>
      <c r="R10" s="17" t="n">
        <v>0</v>
      </c>
      <c r="S10" s="16" t="inlineStr">
        <is>
          <t>Nenhuma</t>
        </is>
      </c>
      <c r="T10" s="18" t="inlineStr">
        <is>
          <t>LRA KDIGO 2</t>
        </is>
      </c>
      <c r="U10" s="16" t="inlineStr">
        <is>
          <t>Profilática</t>
        </is>
      </c>
      <c r="V10" s="16" t="inlineStr">
        <is>
          <t>PICC, SVD</t>
        </is>
      </c>
      <c r="W10" s="16" t="inlineStr">
        <is>
          <t>Furosemida em BIC 10mg/h</t>
        </is>
      </c>
      <c r="X10" s="16" t="inlineStr">
        <is>
          <t>Balanço hídrico negativo 2L</t>
        </is>
      </c>
      <c r="Y10" s="16" t="inlineStr">
        <is>
          <t>Melhora do padrão respiratório</t>
        </is>
      </c>
      <c r="Z10" s="21" t="inlineStr">
        <is>
          <t>Moderado</t>
        </is>
      </c>
    </row>
  </sheetData>
  <mergeCells count="1">
    <mergeCell ref="A1:Z2"/>
  </mergeCells>
  <dataValidations count="6">
    <dataValidation sqref="J6 J7 J8 J9 J10" showDropDown="0" showInputMessage="0" showErrorMessage="0" allowBlank="1" type="list">
      <formula1>"P1,P2,P3,P4"</formula1>
    </dataValidation>
    <dataValidation sqref="K6 K7 K8 K9 K10" showDropDown="0" showInputMessage="0" showErrorMessage="0" allowBlank="1" type="list">
      <formula1>"AA,O2,VNI,CNAF,IOT,TQT"</formula1>
    </dataValidation>
    <dataValidation sqref="L6 L7 L8 L9 L10 N6 N7 N8 N9 N10" showDropDown="0" showInputMessage="0" showErrorMessage="0" allowBlank="1" type="list">
      <formula1>"Sim,Não"</formula1>
    </dataValidation>
    <dataValidation sqref="P6 P7 P8 P9 P10" showDropDown="0" showInputMessage="0" showErrorMessage="0" allowBlank="1" type="list">
      <formula1>"Positivo,Negativo,Inavaliável"</formula1>
    </dataValidation>
    <dataValidation sqref="T6 T7 T8 T9 T10" showDropDown="0" showInputMessage="0" showErrorMessage="0" allowBlank="1" type="list">
      <formula1>"Normal,LRA KDIGO 1,LRA KDIGO 2,LRA KDIGO 3,HD"</formula1>
    </dataValidation>
    <dataValidation sqref="Z6 Z7 Z8 Z9 Z10" showDropDown="0" showInputMessage="0" showErrorMessage="0" allowBlank="1" type="list">
      <formula1>"Baixo,Moderado,Alto,Crítico"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4"/>
  <sheetViews>
    <sheetView showGridLines="1" workbookViewId="0">
      <selection activeCell="A1" sqref="A1"/>
    </sheetView>
  </sheetViews>
  <sheetFormatPr baseColWidth="8" defaultRowHeight="15"/>
  <cols>
    <col width="67" customWidth="1" min="1" max="1"/>
    <col width="247" customWidth="1" min="2" max="2"/>
    <col width="119" customWidth="1" min="3" max="3"/>
    <col width="10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 ht="20" customHeight="1">
      <c r="A1" s="1" t="inlineStr">
        <is>
          <t xml:space="preserve">   PROGNÓSTICO SAPS 3 E CRITÉRIOS DE PRIORIDADE UTI   </t>
        </is>
      </c>
    </row>
    <row r="2" ht="20" customHeight="1"/>
    <row r="3"/>
    <row r="4">
      <c r="A4" s="2" t="inlineStr">
        <is>
          <t>Escore SAPS 3 - Estrutura de Variáveis de Entrada</t>
        </is>
      </c>
    </row>
    <row r="5" ht="22" customHeight="1">
      <c r="A5" s="3" t="inlineStr">
        <is>
          <t>Variável</t>
        </is>
      </c>
      <c r="B5" s="3" t="inlineStr">
        <is>
          <t>Descrição Clínica / Opções</t>
        </is>
      </c>
      <c r="C5" s="3" t="inlineStr">
        <is>
          <t>Pontuação Ref</t>
        </is>
      </c>
    </row>
    <row r="6" ht="22" customHeight="1">
      <c r="A6" s="5" t="inlineStr">
        <is>
          <t>Idade</t>
        </is>
      </c>
      <c r="B6" s="6" t="inlineStr">
        <is>
          <t>&lt;40 anos, 40-59, 60-69, 70-74, 75-79, &gt;=80 anos</t>
        </is>
      </c>
      <c r="C6" s="23" t="inlineStr">
        <is>
          <t>0 a 18 pts</t>
        </is>
      </c>
    </row>
    <row r="7" ht="22" customHeight="1">
      <c r="A7" s="9" t="inlineStr">
        <is>
          <t>Comorbidades</t>
        </is>
      </c>
      <c r="B7" s="10" t="inlineStr">
        <is>
          <t>Câncer hematológico, Metástase, Cirrose, Insuf. Cardíaca NYHA IV, Imunodeficiência</t>
        </is>
      </c>
      <c r="C7" s="24" t="inlineStr">
        <is>
          <t>0 a 12 pts</t>
        </is>
      </c>
    </row>
    <row r="8" ht="22" customHeight="1">
      <c r="A8" s="5" t="inlineStr">
        <is>
          <t>Tempo Pré-UTI</t>
        </is>
      </c>
      <c r="B8" s="6" t="inlineStr">
        <is>
          <t>&lt;24h, 24h-72h, &gt;72h de internação hospitalar antes da UTI</t>
        </is>
      </c>
      <c r="C8" s="23" t="inlineStr">
        <is>
          <t>0 a 7 pts</t>
        </is>
      </c>
    </row>
    <row r="9" ht="22" customHeight="1">
      <c r="A9" s="9" t="inlineStr">
        <is>
          <t>Origem do Paciente</t>
        </is>
      </c>
      <c r="B9" s="10" t="inlineStr">
        <is>
          <t>Pronto-Socorro, Enfermagem, Outro hospital, PO Urgência, PO Eletivo</t>
        </is>
      </c>
      <c r="C9" s="24" t="inlineStr">
        <is>
          <t>0 a 8 pts</t>
        </is>
      </c>
    </row>
    <row r="10" ht="22" customHeight="1">
      <c r="A10" s="5" t="inlineStr">
        <is>
          <t>Status Cirúrgico</t>
        </is>
      </c>
      <c r="B10" s="6" t="inlineStr">
        <is>
          <t>Não-cirúrgico, Cirurgia de Emergência, Cirurgia Eletiva</t>
        </is>
      </c>
      <c r="C10" s="23" t="inlineStr">
        <is>
          <t>0 a 6 pts</t>
        </is>
      </c>
    </row>
    <row r="11" ht="22" customHeight="1">
      <c r="A11" s="9" t="inlineStr">
        <is>
          <t>Motivo de Admissão</t>
        </is>
      </c>
      <c r="B11" s="10" t="inlineStr">
        <is>
          <t>Sepse, Choque, Neurotrauma, Insuficiência Respiratória, Parada Cardíaca</t>
        </is>
      </c>
      <c r="C11" s="24" t="inlineStr">
        <is>
          <t>0 a 22 pts</t>
        </is>
      </c>
    </row>
    <row r="12" ht="22" customHeight="1">
      <c r="A12" s="5" t="inlineStr">
        <is>
          <t>Fisiologia (Pior 1h)</t>
        </is>
      </c>
      <c r="B12" s="6" t="inlineStr">
        <is>
          <t>FC, PA Sistólica, Oxigenação (PaO2/FiO2), Creatinina, Bilirrubinas, Leucócitos, Glasgow</t>
        </is>
      </c>
      <c r="C12" s="23" t="inlineStr">
        <is>
          <t>0 a 54 pts</t>
        </is>
      </c>
    </row>
    <row r="13"/>
    <row r="14"/>
    <row r="15">
      <c r="A15" s="2" t="inlineStr">
        <is>
          <t>CALCULADORA SIMPLIFICADA SAPS 3 (Simulação)</t>
        </is>
      </c>
    </row>
    <row r="16">
      <c r="A16" s="12" t="inlineStr">
        <is>
          <t>Insira a Soma de Pontos (0-150):</t>
        </is>
      </c>
      <c r="B16" s="5" t="n">
        <v>55</v>
      </c>
      <c r="C16" s="12" t="inlineStr">
        <is>
          <t>Mortalidade Estimada (América do Sul):</t>
        </is>
      </c>
      <c r="D16" s="25">
        <f>EXP(-3.2 + (0.075*B16)) / (1 + EXP(-3.2 + (0.075*B16)))</f>
        <v/>
      </c>
    </row>
    <row r="17"/>
    <row r="18"/>
    <row r="19">
      <c r="A19" s="2" t="inlineStr">
        <is>
          <t>TABELA DE PRIORIDADE DE ADMISSÃO EM UTI (Resolução CFM 2.156/16)</t>
        </is>
      </c>
    </row>
    <row r="20" ht="24" customHeight="1">
      <c r="A20" s="26" t="inlineStr">
        <is>
          <t>Prioridade</t>
        </is>
      </c>
      <c r="B20" s="26" t="inlineStr">
        <is>
          <t>Descrição dos Critérios Clínicos</t>
        </is>
      </c>
      <c r="C20" s="26" t="inlineStr">
        <is>
          <t>Justificativa Médica</t>
        </is>
      </c>
      <c r="D20" s="26" t="inlineStr">
        <is>
          <t>Conduta e Reavaliação</t>
        </is>
      </c>
    </row>
    <row r="21" ht="45" customHeight="1">
      <c r="A21" s="27" t="inlineStr">
        <is>
          <t>P1</t>
        </is>
      </c>
      <c r="B21" s="6" t="inlineStr">
        <is>
          <t>Pacientes criticamente enfermos, instáveis, com necessidade de suporte intensivo pleno e imediato (ex: ventilação mecânica invasiva, drogas vasoativas em dose crescente, choque séptico, pós-operatório neurocirúrgico complexo).</t>
        </is>
      </c>
      <c r="C21" s="6" t="inlineStr">
        <is>
          <t>Alta probabilidade de recuperação caso haja suporte tecnológico e assistencial imediato na UTI.</t>
        </is>
      </c>
      <c r="D21" s="6" t="inlineStr">
        <is>
          <t>Admissão imediata. Reavaliação hemodinâmica contínua.</t>
        </is>
      </c>
    </row>
    <row r="22" ht="45" customHeight="1">
      <c r="A22" s="28" t="inlineStr">
        <is>
          <t>P2</t>
        </is>
      </c>
      <c r="B22" s="10" t="inlineStr">
        <is>
          <t>Pacientes que necessitam de monitorização intensiva rigorosa devido ao alto risco de deterioração aguda, podendo requerer intervenção imediata (ex: cetoacidose diabética grave, IAM sem choque, insuficiência respiratória em VNI inicial estável).</t>
        </is>
      </c>
      <c r="C22" s="10" t="inlineStr">
        <is>
          <t>Necessidade de vigilância preventiva que impede a permanência segura em enfermaria padrão.</t>
        </is>
      </c>
      <c r="D22" s="10" t="inlineStr">
        <is>
          <t>Vaga prioritária. Monitorizar sinais vitais de 1h em 1h.</t>
        </is>
      </c>
    </row>
    <row r="23" ht="45" customHeight="1">
      <c r="A23" s="29" t="inlineStr">
        <is>
          <t>P3</t>
        </is>
      </c>
      <c r="B23" s="6" t="inlineStr">
        <is>
          <t>Pacientes criticamente enfermos, porém com baixa probabilidade de recuperação significativa devido a comorbidades terminais, disfunções orgânicas avançadas e irreversíveis ou com limitação terapêutica estabelecida (Diretivas Antecipadas).</t>
        </is>
      </c>
      <c r="C23" s="6" t="inlineStr">
        <is>
          <t>O suporte intensivo pode prolongar o sofrimento sem mudar o desfecho global; elegíveis para suporte orgânico focado.</t>
        </is>
      </c>
      <c r="D23" s="6" t="inlineStr">
        <is>
          <t>Admitir se houver vaga livre; priorizar controle de sintomas. Reavaliar teto terapêutico em 12h.</t>
        </is>
      </c>
    </row>
    <row r="24" ht="45" customHeight="1">
      <c r="A24" s="28" t="inlineStr">
        <is>
          <t>P4</t>
        </is>
      </c>
      <c r="B24" s="10" t="inlineStr">
        <is>
          <t>Pacientes com indicação de admissão considerada de baixa prioridade. Subdividido em: muito estáveis para se beneficiarem de UTI (estabilidade clínica) ou portadores de prognóstico infausto sem benefício terapêutico curativo factual.</t>
        </is>
      </c>
      <c r="C24" s="10" t="inlineStr">
        <is>
          <t>Ausência de ganho prognóstico justificável com terapia invasiva intensiva.</t>
        </is>
      </c>
      <c r="D24" s="10" t="inlineStr">
        <is>
          <t>Manejo seguro em leito de enfermaria de alta dependência ou cuidados paliativos exclusivos fora da UTI.</t>
        </is>
      </c>
    </row>
  </sheetData>
  <mergeCells count="1">
    <mergeCell ref="A1:Z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1" customWidth="1" min="3" max="3"/>
    <col width="20" customWidth="1" min="4" max="4"/>
    <col width="19" customWidth="1" min="5" max="5"/>
    <col width="14" customWidth="1" min="6" max="6"/>
    <col width="24" customWidth="1" min="7" max="7"/>
    <col width="22" customWidth="1" min="8" max="8"/>
    <col width="22" customWidth="1" min="9" max="9"/>
    <col width="22" customWidth="1" min="10" max="10"/>
    <col width="16" customWidth="1" min="11" max="11"/>
    <col width="74" customWidth="1" min="12" max="12"/>
    <col width="22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 ht="20" customHeight="1">
      <c r="A1" s="1" t="inlineStr">
        <is>
          <t xml:space="preserve">   MANEJO DE DISPOSITIVOS INVASIVOS E TEMPO DE PERMANÊNCIA   </t>
        </is>
      </c>
    </row>
    <row r="2" ht="20" customHeight="1"/>
    <row r="3"/>
    <row r="4" ht="26" customHeight="1">
      <c r="A4" s="3" t="inlineStr">
        <is>
          <t>Leito</t>
        </is>
      </c>
      <c r="B4" s="3" t="inlineStr">
        <is>
          <t>Paciente</t>
        </is>
      </c>
      <c r="C4" s="3" t="inlineStr">
        <is>
          <t>Dispositivo</t>
        </is>
      </c>
      <c r="D4" s="3" t="inlineStr">
        <is>
          <t>Local de Inserção</t>
        </is>
      </c>
      <c r="E4" s="3" t="inlineStr">
        <is>
          <t>Data de Inserção</t>
        </is>
      </c>
      <c r="F4" s="3" t="inlineStr">
        <is>
          <t>Dias de Uso</t>
        </is>
      </c>
      <c r="G4" s="3" t="inlineStr">
        <is>
          <t>Prazo Sugerido (Dias)</t>
        </is>
      </c>
      <c r="H4" s="3" t="inlineStr">
        <is>
          <t>Data Prevista Troca</t>
        </is>
      </c>
      <c r="I4" s="3" t="inlineStr">
        <is>
          <t>Indicação Presente?</t>
        </is>
      </c>
      <c r="J4" s="3" t="inlineStr">
        <is>
          <t>Sinais de Infecção?</t>
        </is>
      </c>
      <c r="K4" s="3" t="inlineStr">
        <is>
          <t>Retirar Hoje?</t>
        </is>
      </c>
      <c r="L4" s="3" t="inlineStr">
        <is>
          <t>Orientação Baseada em Evidências</t>
        </is>
      </c>
      <c r="M4" s="3" t="inlineStr">
        <is>
          <t>Observações</t>
        </is>
      </c>
    </row>
    <row r="5" ht="24" customHeight="1">
      <c r="A5" s="4" t="inlineStr">
        <is>
          <t>Leito 01</t>
        </is>
      </c>
      <c r="B5" s="30" t="inlineStr">
        <is>
          <t>A.R.O.</t>
        </is>
      </c>
      <c r="C5" s="5" t="inlineStr">
        <is>
          <t>CVC (Cateter Venoso Central)</t>
        </is>
      </c>
      <c r="D5" s="30" t="inlineStr">
        <is>
          <t>Subclávia Direita</t>
        </is>
      </c>
      <c r="E5" s="4" t="inlineStr">
        <is>
          <t>2026-05-10</t>
        </is>
      </c>
      <c r="F5" s="31">
        <f>HOJE()-E5</f>
        <v/>
      </c>
      <c r="G5" s="31" t="n">
        <v>7</v>
      </c>
      <c r="H5" s="4">
        <f>E5+G5</f>
        <v/>
      </c>
      <c r="I5" s="4" t="inlineStr">
        <is>
          <t>Sim</t>
        </is>
      </c>
      <c r="J5" s="4" t="inlineStr">
        <is>
          <t>Não</t>
        </is>
      </c>
      <c r="K5" s="4" t="inlineStr">
        <is>
          <t>Não</t>
        </is>
      </c>
      <c r="L5" s="23" t="inlineStr">
        <is>
          <t>Trocar apenas se houver disfunção ou infecção clínica.</t>
        </is>
      </c>
      <c r="M5" s="6" t="inlineStr">
        <is>
          <t>Sem intercorrências</t>
        </is>
      </c>
    </row>
    <row r="6" ht="24" customHeight="1">
      <c r="A6" s="8" t="inlineStr">
        <is>
          <t>Leito 01</t>
        </is>
      </c>
      <c r="B6" s="32" t="inlineStr">
        <is>
          <t>A.R.O.</t>
        </is>
      </c>
      <c r="C6" s="9" t="inlineStr">
        <is>
          <t>PAM (Cateter Arterial)</t>
        </is>
      </c>
      <c r="D6" s="32" t="inlineStr">
        <is>
          <t>Radial Direita</t>
        </is>
      </c>
      <c r="E6" s="8" t="inlineStr">
        <is>
          <t>2026-05-10</t>
        </is>
      </c>
      <c r="F6" s="33">
        <f>HOJE()-E6</f>
        <v/>
      </c>
      <c r="G6" s="33" t="n">
        <v>5</v>
      </c>
      <c r="H6" s="8">
        <f>E6+G6</f>
        <v/>
      </c>
      <c r="I6" s="8" t="inlineStr">
        <is>
          <t>Sim</t>
        </is>
      </c>
      <c r="J6" s="8" t="inlineStr">
        <is>
          <t>Não</t>
        </is>
      </c>
      <c r="K6" s="8" t="inlineStr">
        <is>
          <t>Não</t>
        </is>
      </c>
      <c r="L6" s="24" t="inlineStr">
        <is>
          <t>Trocar apenas se houver perda de curva ou sinais inflamatórios.</t>
        </is>
      </c>
      <c r="M6" s="10" t="inlineStr">
        <is>
          <t>Sem intercorrências</t>
        </is>
      </c>
    </row>
    <row r="7" ht="24" customHeight="1">
      <c r="A7" s="4" t="inlineStr">
        <is>
          <t>Leito 01</t>
        </is>
      </c>
      <c r="B7" s="30" t="inlineStr">
        <is>
          <t>A.R.O.</t>
        </is>
      </c>
      <c r="C7" s="5" t="inlineStr">
        <is>
          <t>SVD (Sonda Vesical Demora)</t>
        </is>
      </c>
      <c r="D7" s="30" t="inlineStr">
        <is>
          <t>Uretra</t>
        </is>
      </c>
      <c r="E7" s="4" t="inlineStr">
        <is>
          <t>2026-05-12</t>
        </is>
      </c>
      <c r="F7" s="31">
        <f>HOJE()-E7</f>
        <v/>
      </c>
      <c r="G7" s="31" t="n">
        <v>14</v>
      </c>
      <c r="H7" s="4">
        <f>E7+G7</f>
        <v/>
      </c>
      <c r="I7" s="4" t="inlineStr">
        <is>
          <t>Sim</t>
        </is>
      </c>
      <c r="J7" s="4" t="inlineStr">
        <is>
          <t>Não</t>
        </is>
      </c>
      <c r="K7" s="4" t="inlineStr">
        <is>
          <t>Não</t>
        </is>
      </c>
      <c r="L7" s="23" t="inlineStr">
        <is>
          <t>Reavaliar diariamente necessidade. Evitar trocas de rotina cronológica.</t>
        </is>
      </c>
      <c r="M7" s="6" t="inlineStr">
        <is>
          <t>Sem intercorrências</t>
        </is>
      </c>
    </row>
    <row r="8" ht="24" customHeight="1">
      <c r="A8" s="8" t="inlineStr">
        <is>
          <t>Leito 03</t>
        </is>
      </c>
      <c r="B8" s="32" t="inlineStr">
        <is>
          <t>F.A.G.</t>
        </is>
      </c>
      <c r="C8" s="9" t="inlineStr">
        <is>
          <t>TOT (Tubo Orotraqueal)</t>
        </is>
      </c>
      <c r="D8" s="32" t="inlineStr">
        <is>
          <t>Oral</t>
        </is>
      </c>
      <c r="E8" s="8" t="inlineStr">
        <is>
          <t>2026-05-02</t>
        </is>
      </c>
      <c r="F8" s="34">
        <f>HOJE()-E8</f>
        <v/>
      </c>
      <c r="G8" s="33" t="n">
        <v>14</v>
      </c>
      <c r="H8" s="8">
        <f>E8+G8</f>
        <v/>
      </c>
      <c r="I8" s="8" t="inlineStr">
        <is>
          <t>Sim</t>
        </is>
      </c>
      <c r="J8" s="8" t="inlineStr">
        <is>
          <t>Não</t>
        </is>
      </c>
      <c r="K8" s="35" t="inlineStr">
        <is>
          <t>Sim</t>
        </is>
      </c>
      <c r="L8" s="24" t="inlineStr">
        <is>
          <t>Se tempo &gt; 10-14 dias, indicar Traqueostomia (TQT) eletiva.</t>
        </is>
      </c>
      <c r="M8" s="10" t="inlineStr">
        <is>
          <t>Sem intercorrências</t>
        </is>
      </c>
    </row>
    <row r="9" ht="24" customHeight="1">
      <c r="A9" s="4" t="inlineStr">
        <is>
          <t>Leito 03</t>
        </is>
      </c>
      <c r="B9" s="30" t="inlineStr">
        <is>
          <t>F.A.G.</t>
        </is>
      </c>
      <c r="C9" s="5" t="inlineStr">
        <is>
          <t>Cateter de Hemodiálise</t>
        </is>
      </c>
      <c r="D9" s="30" t="inlineStr">
        <is>
          <t>Femoral Esquerda</t>
        </is>
      </c>
      <c r="E9" s="4" t="inlineStr">
        <is>
          <t>2026-05-15</t>
        </is>
      </c>
      <c r="F9" s="31">
        <f>HOJE()-E9</f>
        <v/>
      </c>
      <c r="G9" s="31" t="n">
        <v>3</v>
      </c>
      <c r="H9" s="4">
        <f>E9+G9</f>
        <v/>
      </c>
      <c r="I9" s="4" t="inlineStr">
        <is>
          <t>Sim</t>
        </is>
      </c>
      <c r="J9" s="4" t="inlineStr">
        <is>
          <t>Não</t>
        </is>
      </c>
      <c r="K9" s="4" t="inlineStr">
        <is>
          <t>Não</t>
        </is>
      </c>
      <c r="L9" s="23" t="inlineStr">
        <is>
          <t>Alta taxa de infecção em sítio femoral; idealmente mover para jugular.</t>
        </is>
      </c>
      <c r="M9" s="6" t="inlineStr">
        <is>
          <t>Sem intercorrências</t>
        </is>
      </c>
    </row>
    <row r="10" ht="24" customHeight="1">
      <c r="A10" s="8" t="inlineStr">
        <is>
          <t>Leito 04</t>
        </is>
      </c>
      <c r="B10" s="32" t="inlineStr">
        <is>
          <t>R.B.M.</t>
        </is>
      </c>
      <c r="C10" s="9" t="inlineStr">
        <is>
          <t>DVE (Derivação Ventricular)</t>
        </is>
      </c>
      <c r="D10" s="32" t="inlineStr">
        <is>
          <t>Craniana</t>
        </is>
      </c>
      <c r="E10" s="8" t="inlineStr">
        <is>
          <t>2026-05-17</t>
        </is>
      </c>
      <c r="F10" s="33">
        <f>HOJE()-E10</f>
        <v/>
      </c>
      <c r="G10" s="33" t="n">
        <v>2</v>
      </c>
      <c r="H10" s="8">
        <f>E10+G10</f>
        <v/>
      </c>
      <c r="I10" s="8" t="inlineStr">
        <is>
          <t>Sim</t>
        </is>
      </c>
      <c r="J10" s="8" t="inlineStr">
        <is>
          <t>Não</t>
        </is>
      </c>
      <c r="K10" s="8" t="inlineStr">
        <is>
          <t>Não</t>
        </is>
      </c>
      <c r="L10" s="24" t="inlineStr">
        <is>
          <t>Manipulação estritamente estéril; monitorar altura do frasco.</t>
        </is>
      </c>
      <c r="M10" s="10" t="inlineStr">
        <is>
          <t>Sem intercorrências</t>
        </is>
      </c>
    </row>
  </sheetData>
  <mergeCells count="1">
    <mergeCell ref="A1:Z2"/>
  </mergeCells>
  <dataValidations count="1">
    <dataValidation sqref="I5 I6 I7 I8 I9 I10 J5 J6 J7 J8 J9 J10 K5 K6 K7 K8 K9 K10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75" customWidth="1" min="2" max="2"/>
    <col width="21" customWidth="1" min="3" max="3"/>
    <col width="25" customWidth="1" min="4" max="4"/>
    <col width="75" customWidth="1" min="5" max="5"/>
    <col width="49" customWidth="1" min="6" max="6"/>
    <col width="73" customWidth="1" min="7" max="7"/>
    <col width="84" customWidth="1" min="8" max="8"/>
    <col width="4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 ht="20" customHeight="1">
      <c r="A1" s="1" t="inlineStr">
        <is>
          <t xml:space="preserve">   GUIA RÁPIDO DE DROGAS VASOATIVAS E SEDAÇÃO NA UTI ADULTO   </t>
        </is>
      </c>
    </row>
    <row r="2" ht="20" customHeight="1"/>
    <row r="3"/>
    <row r="4">
      <c r="A4" s="2" t="inlineStr">
        <is>
          <t>1. Drogas Vasoativas e Inotrópicos</t>
        </is>
      </c>
    </row>
    <row r="5" ht="25" customHeight="1">
      <c r="A5" s="3" t="inlineStr">
        <is>
          <t>Droga</t>
        </is>
      </c>
      <c r="B5" s="3" t="inlineStr">
        <is>
          <t>Indicação Principal</t>
        </is>
      </c>
      <c r="C5" s="3" t="inlineStr">
        <is>
          <t>Dose Inicial</t>
        </is>
      </c>
      <c r="D5" s="3" t="inlineStr">
        <is>
          <t>Faixa Usual</t>
        </is>
      </c>
      <c r="E5" s="3" t="inlineStr">
        <is>
          <t>Dose Máxima</t>
        </is>
      </c>
      <c r="F5" s="3" t="inlineStr">
        <is>
          <t>Diluição Comum Padrão</t>
        </is>
      </c>
      <c r="G5" s="3" t="inlineStr">
        <is>
          <t>Via Preferencial</t>
        </is>
      </c>
      <c r="H5" s="3" t="inlineStr">
        <is>
          <t>Cuidados Efeitos Adversos</t>
        </is>
      </c>
      <c r="I5" s="3" t="inlineStr">
        <is>
          <t>Ajuste / Obs</t>
        </is>
      </c>
    </row>
    <row r="6" ht="24" customHeight="1">
      <c r="A6" s="36" t="inlineStr">
        <is>
          <t>Noradrenalina</t>
        </is>
      </c>
      <c r="B6" s="16" t="inlineStr">
        <is>
          <t>Choque distributivo (séptico), choque cardiogênico refratário.</t>
        </is>
      </c>
      <c r="C6" s="18" t="inlineStr">
        <is>
          <t>0,05 mcg/kg/min</t>
        </is>
      </c>
      <c r="D6" s="18" t="inlineStr">
        <is>
          <t>0,05 - 1,0 mcg/kg/min</t>
        </is>
      </c>
      <c r="E6" s="18" t="inlineStr">
        <is>
          <t>2,0 mcg/kg/min</t>
        </is>
      </c>
      <c r="F6" s="16" t="inlineStr">
        <is>
          <t>4 amp (16mg) + 234ml SGI 5% (Conc: 64 mcg/mL)</t>
        </is>
      </c>
      <c r="G6" s="18" t="inlineStr">
        <is>
          <t>Acesso Venoso Central</t>
        </is>
      </c>
      <c r="H6" s="16" t="inlineStr">
        <is>
          <t>Taquiarritmias, necrose digital periférica em extremidades, isquemia mesentérica.</t>
        </is>
      </c>
      <c r="I6" s="16" t="inlineStr">
        <is>
          <t>Incluir campo de obs: ajuste por peso.</t>
        </is>
      </c>
    </row>
    <row r="7" ht="24" customHeight="1">
      <c r="A7" s="37" t="inlineStr">
        <is>
          <t>Adrenalina</t>
        </is>
      </c>
      <c r="B7" s="38" t="inlineStr">
        <is>
          <t>Choque anafilático, choque cardiogênico refratário, pós-parada cardíaca.</t>
        </is>
      </c>
      <c r="C7" s="39" t="inlineStr">
        <is>
          <t>0,05 mcg/kg/min</t>
        </is>
      </c>
      <c r="D7" s="39" t="inlineStr">
        <is>
          <t>0,05 - 0,5 mcg/kg/min</t>
        </is>
      </c>
      <c r="E7" s="39" t="inlineStr">
        <is>
          <t>1,0 mcg/kg/min</t>
        </is>
      </c>
      <c r="F7" s="38" t="inlineStr">
        <is>
          <t>4 amp (4mg) + 246ml SGI 5% (Conc: 16 mcg/mL)</t>
        </is>
      </c>
      <c r="G7" s="39" t="inlineStr">
        <is>
          <t>Acesso Venoso Central</t>
        </is>
      </c>
      <c r="H7" s="38" t="inlineStr">
        <is>
          <t>Hiperlactatemia b-mediada, taquicardia sinusal marcante, isquemia miocárdica.</t>
        </is>
      </c>
      <c r="I7" s="38" t="inlineStr">
        <is>
          <t>Ajuste por peso/resposta.</t>
        </is>
      </c>
    </row>
    <row r="8" ht="24" customHeight="1">
      <c r="A8" s="36" t="inlineStr">
        <is>
          <t>Dobutamina</t>
        </is>
      </c>
      <c r="B8" s="16" t="inlineStr">
        <is>
          <t>Choque cardiogênico, IC descompensada com baixo débito.</t>
        </is>
      </c>
      <c r="C8" s="18" t="inlineStr">
        <is>
          <t>2,5 mcg/kg/min</t>
        </is>
      </c>
      <c r="D8" s="18" t="inlineStr">
        <is>
          <t>2,5 - 20 mcg/kg/min</t>
        </is>
      </c>
      <c r="E8" s="18" t="inlineStr">
        <is>
          <t>20 mcg/kg/min</t>
        </is>
      </c>
      <c r="F8" s="16" t="inlineStr">
        <is>
          <t>1 amp (250mg) + 240ml SF 0,9% ou SGI 5%</t>
        </is>
      </c>
      <c r="G8" s="18" t="inlineStr">
        <is>
          <t>Acesso Central / Periférico seguro</t>
        </is>
      </c>
      <c r="H8" s="16" t="inlineStr">
        <is>
          <t>Taquiarritmias, hipotensão arterial (se hipovolêmico), tremores.</t>
        </is>
      </c>
      <c r="I8" s="16" t="inlineStr">
        <is>
          <t>Evitar se FC &gt; 120 bpm.</t>
        </is>
      </c>
    </row>
    <row r="9" ht="24" customHeight="1">
      <c r="A9" s="37" t="inlineStr">
        <is>
          <t>Vasopressina</t>
        </is>
      </c>
      <c r="B9" s="38" t="inlineStr">
        <is>
          <t>Choque séptico refratário como segunda linha (poupadora de nora).</t>
        </is>
      </c>
      <c r="C9" s="39" t="inlineStr">
        <is>
          <t>0,01 UI/min</t>
        </is>
      </c>
      <c r="D9" s="39" t="inlineStr">
        <is>
          <t>0,03 - 0,04 UI/min</t>
        </is>
      </c>
      <c r="E9" s="39" t="inlineStr">
        <is>
          <t>0,04 UI/min</t>
        </is>
      </c>
      <c r="F9" s="38" t="inlineStr">
        <is>
          <t>1 amp (20 UI) + 99ml SF 0,9% (Conc: 0,2 UI/mL)</t>
        </is>
      </c>
      <c r="G9" s="39" t="inlineStr">
        <is>
          <t>Acesso Venoso Central</t>
        </is>
      </c>
      <c r="H9" s="38" t="inlineStr">
        <is>
          <t>Isquemia miocárdica, vasoconstrição esplâncnica exagerada, hiponatremia.</t>
        </is>
      </c>
      <c r="I9" s="38" t="inlineStr">
        <is>
          <t>Dose fixa; não titula.</t>
        </is>
      </c>
    </row>
    <row r="10" ht="24" customHeight="1">
      <c r="A10" s="36" t="inlineStr">
        <is>
          <t>Milrinona</t>
        </is>
      </c>
      <c r="B10" s="16" t="inlineStr">
        <is>
          <t>IC descompensada avançada, hipertensão pulmonar.</t>
        </is>
      </c>
      <c r="C10" s="18" t="inlineStr">
        <is>
          <t>0,25 mcg/kg/min</t>
        </is>
      </c>
      <c r="D10" s="18" t="inlineStr">
        <is>
          <t>0,25 - 0,75 mcg/kg/min</t>
        </is>
      </c>
      <c r="E10" s="18" t="inlineStr">
        <is>
          <t>0,75 mcg/kg/min</t>
        </is>
      </c>
      <c r="F10" s="16" t="inlineStr">
        <is>
          <t>1 amp (10mg) + 90ml SGI 5%</t>
        </is>
      </c>
      <c r="G10" s="18" t="inlineStr">
        <is>
          <t>Acesso Venoso Central</t>
        </is>
      </c>
      <c r="H10" s="16" t="inlineStr">
        <is>
          <t>Hipotensão grave, arritmias ventriculares.</t>
        </is>
      </c>
      <c r="I10" s="16" t="inlineStr">
        <is>
          <t>Ajustar severamente no ClCr &lt; 50.</t>
        </is>
      </c>
    </row>
    <row r="11"/>
    <row r="12"/>
    <row r="13">
      <c r="A13" s="2" t="inlineStr">
        <is>
          <t>2. Sedação, Analgesia e Bloqueadores Neuromusculares</t>
        </is>
      </c>
    </row>
    <row r="14" ht="25" customHeight="1">
      <c r="A14" s="26" t="inlineStr">
        <is>
          <t>Fármaco</t>
        </is>
      </c>
      <c r="B14" s="26" t="inlineStr">
        <is>
          <t>Classe / Indicação</t>
        </is>
      </c>
      <c r="C14" s="26" t="inlineStr">
        <is>
          <t>Dose Inicial Usual</t>
        </is>
      </c>
      <c r="D14" s="26" t="inlineStr">
        <is>
          <t>Faixa de Infusão</t>
        </is>
      </c>
      <c r="E14" s="26" t="inlineStr">
        <is>
          <t>Efeitos Adversos Principais</t>
        </is>
      </c>
      <c r="F14" s="26" t="inlineStr">
        <is>
          <t>Antídoto / Reversão</t>
        </is>
      </c>
      <c r="G14" s="26" t="inlineStr">
        <is>
          <t>Particularidades na UTI / Escalas</t>
        </is>
      </c>
    </row>
    <row r="15" ht="24" customHeight="1">
      <c r="A15" s="36" t="inlineStr">
        <is>
          <t>Fentanil</t>
        </is>
      </c>
      <c r="B15" s="16" t="inlineStr">
        <is>
          <t>Opioide / Analgesia de escolha em IOT</t>
        </is>
      </c>
      <c r="C15" s="18" t="inlineStr">
        <is>
          <t>1 mcg/kg/h</t>
        </is>
      </c>
      <c r="D15" s="18" t="inlineStr">
        <is>
          <t>1 - 5 mcg/kg/h</t>
        </is>
      </c>
      <c r="E15" s="16" t="inlineStr">
        <is>
          <t>Depressão respiratória, constipação intestinal severa, rigidez torácica.</t>
        </is>
      </c>
      <c r="F15" s="18" t="inlineStr">
        <is>
          <t>Naloxona</t>
        </is>
      </c>
      <c r="G15" s="16" t="inlineStr">
        <is>
          <t>Escalas de dor: BPS ou CPOT de 2h em 2h.</t>
        </is>
      </c>
    </row>
    <row r="16" ht="24" customHeight="1">
      <c r="A16" s="37" t="inlineStr">
        <is>
          <t>Midazolam</t>
        </is>
      </c>
      <c r="B16" s="38" t="inlineStr">
        <is>
          <t>Benzodiazepínico / Sedação profunda</t>
        </is>
      </c>
      <c r="C16" s="39" t="inlineStr">
        <is>
          <t>0,03 mg/kg/h</t>
        </is>
      </c>
      <c r="D16" s="39" t="inlineStr">
        <is>
          <t>0,03 - 0,2 mg/kg/h</t>
        </is>
      </c>
      <c r="E16" s="38" t="inlineStr">
        <is>
          <t>Acúmulo prolongado em obesos/renais, delirium pós-sedação.</t>
        </is>
      </c>
      <c r="F16" s="39" t="inlineStr">
        <is>
          <t>Flumazenil</t>
        </is>
      </c>
      <c r="G16" s="38" t="inlineStr">
        <is>
          <t>Gera tolerância e abstinência. Evitar sedação contínua prolongada.</t>
        </is>
      </c>
    </row>
    <row r="17" ht="24" customHeight="1">
      <c r="A17" s="36" t="inlineStr">
        <is>
          <t>Propofol</t>
        </is>
      </c>
      <c r="B17" s="16" t="inlineStr">
        <is>
          <t>Anestésico geral / Sedação rápida</t>
        </is>
      </c>
      <c r="C17" s="18" t="inlineStr">
        <is>
          <t>0,5 mg/kg/h</t>
        </is>
      </c>
      <c r="D17" s="18" t="inlineStr">
        <is>
          <t>0,5 - 5,0 mg/kg/h</t>
        </is>
      </c>
      <c r="E17" s="16" t="inlineStr">
        <is>
          <t>Hipotensão, hipertrigliceridemia, PRIS (síndrome de infusão).</t>
        </is>
      </c>
      <c r="F17" s="18" t="inlineStr">
        <is>
          <t>Nenhum</t>
        </is>
      </c>
      <c r="G17" s="16" t="inlineStr">
        <is>
          <t>Desmame ultrarrápido ideal para despertar diário.</t>
        </is>
      </c>
    </row>
    <row r="18" ht="24" customHeight="1">
      <c r="A18" s="37" t="inlineStr">
        <is>
          <t>Dexmedetomidina</t>
        </is>
      </c>
      <c r="B18" s="38" t="inlineStr">
        <is>
          <t>Agonista alfa-2 / Sedação leve-mod</t>
        </is>
      </c>
      <c r="C18" s="39" t="inlineStr">
        <is>
          <t>0,2 mcg/kg/h</t>
        </is>
      </c>
      <c r="D18" s="39" t="inlineStr">
        <is>
          <t>0,2 - 1,4 mcg/kg/h</t>
        </is>
      </c>
      <c r="E18" s="38" t="inlineStr">
        <is>
          <t>Bradicardia severa, hipotensão arterial.</t>
        </is>
      </c>
      <c r="F18" s="39" t="inlineStr">
        <is>
          <t>Nenhum</t>
        </is>
      </c>
      <c r="G18" s="38" t="inlineStr">
        <is>
          <t>Não causa depressão respiratória; excelente para desmame ventilatório.</t>
        </is>
      </c>
    </row>
    <row r="19" ht="24" customHeight="1">
      <c r="A19" s="36" t="inlineStr">
        <is>
          <t>Cisatracúrio</t>
        </is>
      </c>
      <c r="B19" s="16" t="inlineStr">
        <is>
          <t>Bloqueador Neuromuscular (BNM)</t>
        </is>
      </c>
      <c r="C19" s="18" t="inlineStr">
        <is>
          <t>1 mcg/kg/min</t>
        </is>
      </c>
      <c r="D19" s="18" t="inlineStr">
        <is>
          <t>1 - 3 mcg/kg/min</t>
        </is>
      </c>
      <c r="E19" s="16" t="inlineStr">
        <is>
          <t>Fraqueza muscular crônica da UTI.</t>
        </is>
      </c>
      <c r="F19" s="18" t="inlineStr">
        <is>
          <t>Nenhum</t>
        </is>
      </c>
      <c r="G19" s="16" t="inlineStr">
        <is>
          <t>Monitorizar com TOF (Train of Four). Sedação profunda obrigatória.</t>
        </is>
      </c>
    </row>
  </sheetData>
  <mergeCells count="1">
    <mergeCell ref="A1:Z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4" customWidth="1" min="1" max="1"/>
    <col width="38" customWidth="1" min="2" max="2"/>
    <col width="61" customWidth="1" min="3" max="3"/>
    <col width="19" customWidth="1" min="4" max="4"/>
    <col width="14" customWidth="1" min="5" max="5"/>
    <col width="14" customWidth="1" min="6" max="6"/>
    <col width="19" customWidth="1" min="7" max="7"/>
    <col width="31" customWidth="1" min="8" max="8"/>
    <col width="31" customWidth="1" min="9" max="9"/>
    <col width="24" customWidth="1" min="10" max="10"/>
    <col width="32" customWidth="1" min="11" max="11"/>
    <col width="86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 ht="20" customHeight="1">
      <c r="A1" s="1" t="inlineStr">
        <is>
          <t xml:space="preserve">   TABELA DE AJUSTE POSOLÓGICO DE ANTIMICROBIANOS CONFORME FUNÇÃO RENAL   </t>
        </is>
      </c>
    </row>
    <row r="2" ht="20" customHeight="1"/>
    <row r="3"/>
    <row r="4">
      <c r="A4" s="40" t="inlineStr">
        <is>
          <t>AVISO CRÍTICO: Doses devem ser individualizadas conforme peso, gravidade, MIC, foco infeccioso e protocolo institucional de Sobral.</t>
        </is>
      </c>
    </row>
    <row r="5" ht="28" customHeight="1">
      <c r="A5" s="3" t="inlineStr">
        <is>
          <t>Antibiótico</t>
        </is>
      </c>
      <c r="B5" s="3" t="inlineStr">
        <is>
          <t>Espectro Principal</t>
        </is>
      </c>
      <c r="C5" s="3" t="inlineStr">
        <is>
          <t>Dose Normal</t>
        </is>
      </c>
      <c r="D5" s="3" t="inlineStr">
        <is>
          <t>ClCr &gt; 50 mL/min</t>
        </is>
      </c>
      <c r="E5" s="3" t="inlineStr">
        <is>
          <t>ClCr 30–50</t>
        </is>
      </c>
      <c r="F5" s="3" t="inlineStr">
        <is>
          <t>ClCr 10–30</t>
        </is>
      </c>
      <c r="G5" s="3" t="inlineStr">
        <is>
          <t>ClCr &lt; 10</t>
        </is>
      </c>
      <c r="H5" s="3" t="inlineStr">
        <is>
          <t>Hemodiálise (HD)</t>
        </is>
      </c>
      <c r="I5" s="3" t="inlineStr">
        <is>
          <t>CRRT (Diálise Contínua)</t>
        </is>
      </c>
      <c r="J5" s="3" t="inlineStr">
        <is>
          <t>Dose Pós-HD?</t>
        </is>
      </c>
      <c r="K5" s="3" t="inlineStr">
        <is>
          <t>Monitorização Terapêutica?</t>
        </is>
      </c>
      <c r="L5" s="3" t="inlineStr">
        <is>
          <t>Observações Clínicas</t>
        </is>
      </c>
    </row>
    <row r="6" ht="24" customHeight="1">
      <c r="A6" s="36" t="inlineStr">
        <is>
          <t>Piperacilina-Tazobactam</t>
        </is>
      </c>
      <c r="B6" s="16" t="inlineStr">
        <is>
          <t>Pseudomonas, Gram-negativos, Anae.</t>
        </is>
      </c>
      <c r="C6" s="18" t="inlineStr">
        <is>
          <t>4,5g q6h</t>
        </is>
      </c>
      <c r="D6" s="18" t="inlineStr">
        <is>
          <t>4,5g q6h</t>
        </is>
      </c>
      <c r="E6" s="18" t="inlineStr">
        <is>
          <t>3,375g q6h</t>
        </is>
      </c>
      <c r="F6" s="18" t="inlineStr">
        <is>
          <t>3,375g q8h</t>
        </is>
      </c>
      <c r="G6" s="18" t="inlineStr">
        <is>
          <t>2,25g q8h</t>
        </is>
      </c>
      <c r="H6" s="18" t="inlineStr">
        <is>
          <t>2,25g q12h</t>
        </is>
      </c>
      <c r="I6" s="18" t="inlineStr">
        <is>
          <t>4,5g q8h ou infusão contínua</t>
        </is>
      </c>
      <c r="J6" s="18" t="inlineStr">
        <is>
          <t>Sim, dose extra 0,75g</t>
        </is>
      </c>
      <c r="K6" s="18" t="inlineStr">
        <is>
          <t>Não disponível de rotina</t>
        </is>
      </c>
      <c r="L6" s="16" t="inlineStr">
        <is>
          <t>Infusão estendida (4h) otimiza PK/PD em sepse grave.</t>
        </is>
      </c>
    </row>
    <row r="7" ht="24" customHeight="1">
      <c r="A7" s="37" t="inlineStr">
        <is>
          <t>Meropenem</t>
        </is>
      </c>
      <c r="B7" s="38" t="inlineStr">
        <is>
          <t>Carbapenêmico amplo (inclui Pseud.)</t>
        </is>
      </c>
      <c r="C7" s="39" t="inlineStr">
        <is>
          <t>1g q8h</t>
        </is>
      </c>
      <c r="D7" s="39" t="inlineStr">
        <is>
          <t>1g q8h</t>
        </is>
      </c>
      <c r="E7" s="39" t="inlineStr">
        <is>
          <t>1g q12h</t>
        </is>
      </c>
      <c r="F7" s="39" t="inlineStr">
        <is>
          <t>500mg q12h</t>
        </is>
      </c>
      <c r="G7" s="39" t="inlineStr">
        <is>
          <t>500mg q24h</t>
        </is>
      </c>
      <c r="H7" s="39" t="inlineStr">
        <is>
          <t>500mg q24h</t>
        </is>
      </c>
      <c r="I7" s="39" t="inlineStr">
        <is>
          <t>1g q12h</t>
        </is>
      </c>
      <c r="J7" s="39" t="inlineStr">
        <is>
          <t>Sim, após a sessão</t>
        </is>
      </c>
      <c r="K7" s="39" t="inlineStr">
        <is>
          <t>Não</t>
        </is>
      </c>
      <c r="L7" s="38" t="inlineStr">
        <is>
          <t>Em germes com MIC elevado, considerar 2g q8h em infusão de 3h.</t>
        </is>
      </c>
    </row>
    <row r="8" ht="24" customHeight="1">
      <c r="A8" s="36" t="inlineStr">
        <is>
          <t>Vancomicina</t>
        </is>
      </c>
      <c r="B8" s="16" t="inlineStr">
        <is>
          <t>G-positivo (MRSA, Enterococcus)</t>
        </is>
      </c>
      <c r="C8" s="18" t="inlineStr">
        <is>
          <t>15-20 mg/kg q12h</t>
        </is>
      </c>
      <c r="D8" s="18" t="inlineStr">
        <is>
          <t>Conforme nível</t>
        </is>
      </c>
      <c r="E8" s="18" t="inlineStr">
        <is>
          <t>q24h a q48h</t>
        </is>
      </c>
      <c r="F8" s="18" t="inlineStr">
        <is>
          <t>q48h a q72h</t>
        </is>
      </c>
      <c r="G8" s="18" t="inlineStr">
        <is>
          <t>Guiado por nível</t>
        </is>
      </c>
      <c r="H8" s="18" t="inlineStr">
        <is>
          <t>1g em carga, repor por nível</t>
        </is>
      </c>
      <c r="I8" s="18" t="inlineStr">
        <is>
          <t>q24-48h por nível</t>
        </is>
      </c>
      <c r="J8" s="18" t="inlineStr">
        <is>
          <t>Sim, se nível &lt; 15</t>
        </is>
      </c>
      <c r="K8" s="18" t="inlineStr">
        <is>
          <t>Sim (Vancocinemia alvo 15-20)</t>
        </is>
      </c>
      <c r="L8" s="16" t="inlineStr">
        <is>
          <t>Risco altíssimo de nefrotoxicidade se associado a Piperacilina/Tazo.</t>
        </is>
      </c>
    </row>
    <row r="9" ht="24" customHeight="1">
      <c r="A9" s="37" t="inlineStr">
        <is>
          <t>Ceftriaxona</t>
        </is>
      </c>
      <c r="B9" s="38" t="inlineStr">
        <is>
          <t>G-negativos, Pneumococo</t>
        </is>
      </c>
      <c r="C9" s="39" t="inlineStr">
        <is>
          <t>1-2g q24h</t>
        </is>
      </c>
      <c r="D9" s="39" t="inlineStr">
        <is>
          <t>1-2g q24h</t>
        </is>
      </c>
      <c r="E9" s="39" t="inlineStr">
        <is>
          <t>1-2g q24h</t>
        </is>
      </c>
      <c r="F9" s="39" t="inlineStr">
        <is>
          <t>1-2g q24h</t>
        </is>
      </c>
      <c r="G9" s="39" t="inlineStr">
        <is>
          <t>1-2g q24h</t>
        </is>
      </c>
      <c r="H9" s="39" t="inlineStr">
        <is>
          <t>Sem alteração</t>
        </is>
      </c>
      <c r="I9" s="39" t="inlineStr">
        <is>
          <t>Sem alteração</t>
        </is>
      </c>
      <c r="J9" s="39" t="inlineStr">
        <is>
          <t>Não</t>
        </is>
      </c>
      <c r="K9" s="39" t="inlineStr">
        <is>
          <t>Não</t>
        </is>
      </c>
      <c r="L9" s="38" t="inlineStr">
        <is>
          <t>Eliminação dupla (biliar/renal). Excelente para uso em LRA sem ajuste.</t>
        </is>
      </c>
    </row>
    <row r="10" ht="24" customHeight="1">
      <c r="A10" s="36" t="inlineStr">
        <is>
          <t>Cefepime</t>
        </is>
      </c>
      <c r="B10" s="16" t="inlineStr">
        <is>
          <t>Antipseudomonal G-negativo</t>
        </is>
      </c>
      <c r="C10" s="18" t="inlineStr">
        <is>
          <t>2g q8h</t>
        </is>
      </c>
      <c r="D10" s="18" t="inlineStr">
        <is>
          <t>2g q8h</t>
        </is>
      </c>
      <c r="E10" s="18" t="inlineStr">
        <is>
          <t>2g q12h</t>
        </is>
      </c>
      <c r="F10" s="18" t="inlineStr">
        <is>
          <t>1g q12h</t>
        </is>
      </c>
      <c r="G10" s="18" t="inlineStr">
        <is>
          <t>1g q24h</t>
        </is>
      </c>
      <c r="H10" s="18" t="inlineStr">
        <is>
          <t>1g q24h</t>
        </is>
      </c>
      <c r="I10" s="18" t="inlineStr">
        <is>
          <t>2g q12h</t>
        </is>
      </c>
      <c r="J10" s="18" t="inlineStr">
        <is>
          <t>Sim, após a sessão</t>
        </is>
      </c>
      <c r="K10" s="18" t="inlineStr">
        <is>
          <t>Não</t>
        </is>
      </c>
      <c r="L10" s="16" t="inlineStr">
        <is>
          <t>Acúmulo causa neurotoxicidade grave (rebaixamento, mioclonias, status epilepticus).</t>
        </is>
      </c>
    </row>
    <row r="11" ht="24" customHeight="1">
      <c r="A11" s="37" t="inlineStr">
        <is>
          <t>Polimixina B</t>
        </is>
      </c>
      <c r="B11" s="38" t="inlineStr">
        <is>
          <t>Superbactérias MDR (KPC, P. aerug)</t>
        </is>
      </c>
      <c r="C11" s="39" t="inlineStr">
        <is>
          <t>Carga 20.000-25.000 UI/kg, Manut: 10.000-15.000 UI/kg q12h</t>
        </is>
      </c>
      <c r="D11" s="39" t="inlineStr">
        <is>
          <t>Sem ajuste</t>
        </is>
      </c>
      <c r="E11" s="39" t="inlineStr">
        <is>
          <t>Sem ajuste</t>
        </is>
      </c>
      <c r="F11" s="39" t="inlineStr">
        <is>
          <t>Sem ajuste</t>
        </is>
      </c>
      <c r="G11" s="39" t="inlineStr">
        <is>
          <t>Sem ajuste</t>
        </is>
      </c>
      <c r="H11" s="39" t="inlineStr">
        <is>
          <t>Sem ajuste</t>
        </is>
      </c>
      <c r="I11" s="39" t="inlineStr">
        <is>
          <t>Sem ajuste</t>
        </is>
      </c>
      <c r="J11" s="39" t="inlineStr">
        <is>
          <t>Não</t>
        </is>
      </c>
      <c r="K11" s="39" t="inlineStr">
        <is>
          <t>Não</t>
        </is>
      </c>
      <c r="L11" s="38" t="inlineStr">
        <is>
          <t>NÃO se ajusta para função renal (ajuste causa subdose e falha terapêutica).</t>
        </is>
      </c>
    </row>
    <row r="12" ht="24" customHeight="1">
      <c r="A12" s="36" t="inlineStr">
        <is>
          <t>Fluconazol</t>
        </is>
      </c>
      <c r="B12" s="16" t="inlineStr">
        <is>
          <t>Antifúngico (Candida albicans)</t>
        </is>
      </c>
      <c r="C12" s="18" t="inlineStr">
        <is>
          <t>800mg carga, 400mg q24h</t>
        </is>
      </c>
      <c r="D12" s="18" t="inlineStr">
        <is>
          <t>400mg q24h</t>
        </is>
      </c>
      <c r="E12" s="18" t="inlineStr">
        <is>
          <t>200mg q24h</t>
        </is>
      </c>
      <c r="F12" s="18" t="inlineStr">
        <is>
          <t>200mg q24h</t>
        </is>
      </c>
      <c r="G12" s="18" t="inlineStr">
        <is>
          <t>100mg q24h</t>
        </is>
      </c>
      <c r="H12" s="18" t="inlineStr">
        <is>
          <t>200mg q24h</t>
        </is>
      </c>
      <c r="I12" s="18" t="inlineStr">
        <is>
          <t>400mg q24h</t>
        </is>
      </c>
      <c r="J12" s="18" t="inlineStr">
        <is>
          <t>Sim, após HD</t>
        </is>
      </c>
      <c r="K12" s="18" t="inlineStr">
        <is>
          <t>Não</t>
        </is>
      </c>
      <c r="L12" s="16" t="inlineStr">
        <is>
          <t>Dose dobrada se suspeita de sensibilidade dose-dependente.</t>
        </is>
      </c>
    </row>
  </sheetData>
  <mergeCells count="1">
    <mergeCell ref="A1:Z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1" customWidth="1" min="2" max="2"/>
    <col width="34" customWidth="1" min="3" max="3"/>
    <col width="45" customWidth="1" min="4" max="4"/>
    <col width="50" customWidth="1" min="5" max="5"/>
    <col width="29" customWidth="1" min="6" max="6"/>
    <col width="33" customWidth="1" min="7" max="7"/>
    <col width="36" customWidth="1" min="8" max="8"/>
    <col width="56" customWidth="1" min="9" max="9"/>
    <col width="80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 ht="20" customHeight="1">
      <c r="A1" s="1" t="inlineStr">
        <is>
          <t xml:space="preserve">   MEDICAÇÕES NÃO ANTIBIÓTICAS CRÍTICAS COM AJUSTE RENAL NA UTI   </t>
        </is>
      </c>
    </row>
    <row r="2" ht="20" customHeight="1"/>
    <row r="3"/>
    <row r="4" ht="25" customHeight="1">
      <c r="A4" s="3" t="inlineStr">
        <is>
          <t>Medicamento</t>
        </is>
      </c>
      <c r="B4" s="3" t="inlineStr">
        <is>
          <t>Indicação Comum UTI</t>
        </is>
      </c>
      <c r="C4" s="3" t="inlineStr">
        <is>
          <t>Dose Usual Normal</t>
        </is>
      </c>
      <c r="D4" s="3" t="inlineStr">
        <is>
          <t>ClCr 30–50 mL/min</t>
        </is>
      </c>
      <c r="E4" s="3" t="inlineStr">
        <is>
          <t>ClCr 10–30 mL/min</t>
        </is>
      </c>
      <c r="F4" s="3" t="inlineStr">
        <is>
          <t>ClCr &lt; 10 mL/min</t>
        </is>
      </c>
      <c r="G4" s="3" t="inlineStr">
        <is>
          <t>Manejo na Hemodiálise</t>
        </is>
      </c>
      <c r="H4" s="3" t="inlineStr">
        <is>
          <t>Contraindicação</t>
        </is>
      </c>
      <c r="I4" s="3" t="inlineStr">
        <is>
          <t>Toxicidade se Acumular</t>
        </is>
      </c>
      <c r="J4" s="3" t="inlineStr">
        <is>
          <t>Observações Especializadas / Alertas</t>
        </is>
      </c>
    </row>
    <row r="5" ht="24" customHeight="1">
      <c r="A5" s="36" t="inlineStr">
        <is>
          <t>Levetiracetam</t>
        </is>
      </c>
      <c r="B5" s="16" t="inlineStr">
        <is>
          <t>Anticonvulsivante / Status epilepticus</t>
        </is>
      </c>
      <c r="C5" s="18" t="inlineStr">
        <is>
          <t>500mg a 1500mg q12h</t>
        </is>
      </c>
      <c r="D5" s="18" t="inlineStr">
        <is>
          <t>250-750mg q12h</t>
        </is>
      </c>
      <c r="E5" s="18" t="inlineStr">
        <is>
          <t>250-500mg q12h</t>
        </is>
      </c>
      <c r="F5" s="18" t="inlineStr">
        <is>
          <t>250-500mg q24h</t>
        </is>
      </c>
      <c r="G5" s="18" t="inlineStr">
        <is>
          <t>Dose pós-HD extra de 250-500mg</t>
        </is>
      </c>
      <c r="H5" s="18" t="inlineStr">
        <is>
          <t>Hipersensibilidade</t>
        </is>
      </c>
      <c r="I5" s="16" t="inlineStr">
        <is>
          <t>Sedação extrema, alterações comportamentais, psicose.</t>
        </is>
      </c>
      <c r="J5" s="16" t="inlineStr">
        <is>
          <t>Destacado conforme solicitado. Redução linear obrigatória.</t>
        </is>
      </c>
    </row>
    <row r="6" ht="24" customHeight="1">
      <c r="A6" s="37" t="inlineStr">
        <is>
          <t>Enoxaparina</t>
        </is>
      </c>
      <c r="B6" s="38" t="inlineStr">
        <is>
          <t>Anticoagulação plena ou profilaxia</t>
        </is>
      </c>
      <c r="C6" s="39" t="inlineStr">
        <is>
          <t>Plena: 1mg/kg q12h SC</t>
        </is>
      </c>
      <c r="D6" s="39" t="inlineStr">
        <is>
          <t>Plena: Sem alteração. Profilaxia: sem alt.</t>
        </is>
      </c>
      <c r="E6" s="39" t="inlineStr">
        <is>
          <t>Plena: 1mg/kg q24h SC. Profilaxia: 20mg q24h SC</t>
        </is>
      </c>
      <c r="F6" s="39" t="inlineStr">
        <is>
          <t>Contraindicado forma plena</t>
        </is>
      </c>
      <c r="G6" s="39" t="inlineStr">
        <is>
          <t>Evitar. Preferir HNF.</t>
        </is>
      </c>
      <c r="H6" s="39" t="inlineStr">
        <is>
          <t>ClCr &lt; 15 para dose plena</t>
        </is>
      </c>
      <c r="I6" s="38" t="inlineStr">
        <is>
          <t>Sangramento grave, hematoma retroperitoneal.</t>
        </is>
      </c>
      <c r="J6" s="38" t="inlineStr">
        <is>
          <t>Monitorizar com Anti-Xa se necessário usar em insuficiência renal borderline.</t>
        </is>
      </c>
    </row>
    <row r="7" ht="24" customHeight="1">
      <c r="A7" s="36" t="inlineStr">
        <is>
          <t>Digoxina</t>
        </is>
      </c>
      <c r="B7" s="16" t="inlineStr">
        <is>
          <t>Controle de FC na Fibrilação Atrial</t>
        </is>
      </c>
      <c r="C7" s="18" t="inlineStr">
        <is>
          <t>0,125mg a 0,25mg q24h VO/IV</t>
        </is>
      </c>
      <c r="D7" s="18" t="inlineStr">
        <is>
          <t>0,125mg q24h ou q48h</t>
        </is>
      </c>
      <c r="E7" s="18" t="inlineStr">
        <is>
          <t>0,125mg q48h</t>
        </is>
      </c>
      <c r="F7" s="18" t="inlineStr">
        <is>
          <t>0,125mg 2 a 3x por semana</t>
        </is>
      </c>
      <c r="G7" s="18" t="inlineStr">
        <is>
          <t>Não dialisável</t>
        </is>
      </c>
      <c r="H7" s="18" t="inlineStr">
        <is>
          <t>Bloqueios AV avançados</t>
        </is>
      </c>
      <c r="I7" s="16" t="inlineStr">
        <is>
          <t>Arritmias fatais, náuseas, xantopsia, hipercalemia.</t>
        </is>
      </c>
      <c r="J7" s="16" t="inlineStr">
        <is>
          <t>Janela terapêutica estreita. Monitorizar nível sérico.</t>
        </is>
      </c>
    </row>
    <row r="8" ht="24" customHeight="1">
      <c r="A8" s="37" t="inlineStr">
        <is>
          <t>Metformina</t>
        </is>
      </c>
      <c r="B8" s="38" t="inlineStr">
        <is>
          <t>Controle glicêmico</t>
        </is>
      </c>
      <c r="C8" s="39" t="inlineStr">
        <is>
          <t>850mg a 2000mg/dia</t>
        </is>
      </c>
      <c r="D8" s="39" t="inlineStr">
        <is>
          <t>Máximo 1000mg/dia</t>
        </is>
      </c>
      <c r="E8" s="39" t="inlineStr">
        <is>
          <t>Contraindicado</t>
        </is>
      </c>
      <c r="F8" s="39" t="inlineStr">
        <is>
          <t>Contraindicado</t>
        </is>
      </c>
      <c r="G8" s="39" t="inlineStr">
        <is>
          <t>Contraindicado</t>
        </is>
      </c>
      <c r="H8" s="39" t="inlineStr">
        <is>
          <t>ClCr &lt; 30 mL/min</t>
        </is>
      </c>
      <c r="I8" s="38" t="inlineStr">
        <is>
          <t>Acidose lática grave e potencialmente fatal.</t>
        </is>
      </c>
      <c r="J8" s="38" t="inlineStr">
        <is>
          <t>Suspender imediatamente na admissão de qualquer paciente crítico.</t>
        </is>
      </c>
    </row>
    <row r="9" ht="24" customHeight="1">
      <c r="A9" s="36" t="inlineStr">
        <is>
          <t>Morfina</t>
        </is>
      </c>
      <c r="B9" s="16" t="inlineStr">
        <is>
          <t>Analgésico opioide</t>
        </is>
      </c>
      <c r="C9" s="18" t="inlineStr">
        <is>
          <t>2mg a 5mg IV de horário/resgate</t>
        </is>
      </c>
      <c r="D9" s="18" t="inlineStr">
        <is>
          <t>Reduzir dose em 25-50%</t>
        </is>
      </c>
      <c r="E9" s="18" t="inlineStr">
        <is>
          <t>Reduzir dose em 50-75%</t>
        </is>
      </c>
      <c r="F9" s="18" t="inlineStr">
        <is>
          <t>Evitar. Reduzir &gt;75%</t>
        </is>
      </c>
      <c r="G9" s="18" t="inlineStr">
        <is>
          <t>Acumula metabólitos ativos</t>
        </is>
      </c>
      <c r="H9" s="18" t="inlineStr">
        <is>
          <t>Insuficiência respiratória severa</t>
        </is>
      </c>
      <c r="I9" s="16" t="inlineStr">
        <is>
          <t>Depressão respiratória severa, mioclonias, coma.</t>
        </is>
      </c>
      <c r="J9" s="16" t="inlineStr">
        <is>
          <t>Metabólito M6G acumula e causa sedação prolongada indefinida.</t>
        </is>
      </c>
    </row>
  </sheetData>
  <mergeCells count="1">
    <mergeCell ref="A1:Z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6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43" customWidth="1" min="2" max="2"/>
    <col width="70" customWidth="1" min="3" max="3"/>
    <col width="47" customWidth="1" min="4" max="4"/>
    <col width="80" customWidth="1" min="5" max="5"/>
    <col width="29" customWidth="1" min="6" max="6"/>
    <col width="34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 ht="20" customHeight="1">
      <c r="A1" s="1" t="inlineStr">
        <is>
          <t xml:space="preserve">   PROTOCOLOS DE ANTICOAGULAÇÃO E AGENTES DE REVERSÃO EM UTI   </t>
        </is>
      </c>
    </row>
    <row r="2" ht="20" customHeight="1"/>
    <row r="3"/>
    <row r="4">
      <c r="A4" s="2" t="inlineStr">
        <is>
          <t>1. Esquemas de Anticoagulação Comuns</t>
        </is>
      </c>
    </row>
    <row r="5" ht="25" customHeight="1">
      <c r="A5" s="3" t="inlineStr">
        <is>
          <t>Fármaco / Via</t>
        </is>
      </c>
      <c r="B5" s="3" t="inlineStr">
        <is>
          <t>Indicação Padrão</t>
        </is>
      </c>
      <c r="C5" s="3" t="inlineStr">
        <is>
          <t>Dose Usual Recomendada</t>
        </is>
      </c>
      <c r="D5" s="3" t="inlineStr">
        <is>
          <t>Ajuste na Disfunção Renal</t>
        </is>
      </c>
      <c r="E5" s="3" t="inlineStr">
        <is>
          <t>Monitorização Alvo</t>
        </is>
      </c>
      <c r="F5" s="3" t="inlineStr">
        <is>
          <t>Quando Suspender Pré-Op</t>
        </is>
      </c>
      <c r="G5" s="3" t="inlineStr">
        <is>
          <t>Antídoto de Escolha</t>
        </is>
      </c>
    </row>
    <row r="6" ht="24" customHeight="1">
      <c r="A6" s="36" t="inlineStr">
        <is>
          <t>Heparina Não Fracionada (HNF) IV</t>
        </is>
      </c>
      <c r="B6" s="16" t="inlineStr">
        <is>
          <t>TEV pleno, IAM, SCA com supra.</t>
        </is>
      </c>
      <c r="C6" s="16" t="inlineStr">
        <is>
          <t>Carga 80 UI/kg IV, Manut: 18 UI/kg/h em BIC</t>
        </is>
      </c>
      <c r="D6" s="16" t="inlineStr">
        <is>
          <t>Não necessita ajuste de dose</t>
        </is>
      </c>
      <c r="E6" s="18" t="inlineStr">
        <is>
          <t>TTPa 1,5 a 2,5 vezes o controle</t>
        </is>
      </c>
      <c r="F6" s="18" t="inlineStr">
        <is>
          <t>Desligar 4 a 6 horas antes</t>
        </is>
      </c>
      <c r="G6" s="18" t="inlineStr">
        <is>
          <t>Protamina (1mg para 100 UI HNF)</t>
        </is>
      </c>
    </row>
    <row r="7" ht="24" customHeight="1">
      <c r="A7" s="37" t="inlineStr">
        <is>
          <t>Heparina Não Fracionada (HNF) SC</t>
        </is>
      </c>
      <c r="B7" s="38" t="inlineStr">
        <is>
          <t>Profilaxia de TEV / TVP</t>
        </is>
      </c>
      <c r="C7" s="38" t="inlineStr">
        <is>
          <t>5.000 UI SC de 8/8h ou 12/12h</t>
        </is>
      </c>
      <c r="D7" s="38" t="inlineStr">
        <is>
          <t>Sem alteração</t>
        </is>
      </c>
      <c r="E7" s="39" t="inlineStr">
        <is>
          <t>Não monitorizar</t>
        </is>
      </c>
      <c r="F7" s="39" t="inlineStr">
        <is>
          <t>Manter ou suspender 12h</t>
        </is>
      </c>
      <c r="G7" s="39" t="inlineStr">
        <is>
          <t>Protamina</t>
        </is>
      </c>
    </row>
    <row r="8" ht="24" customHeight="1">
      <c r="A8" s="36" t="inlineStr">
        <is>
          <t>Enoxaparina SC (Plena)</t>
        </is>
      </c>
      <c r="B8" s="16" t="inlineStr">
        <is>
          <t>TEV pleno, Angina Instável</t>
        </is>
      </c>
      <c r="C8" s="16" t="inlineStr">
        <is>
          <t>1 mg/kg SC de 12/12h</t>
        </is>
      </c>
      <c r="D8" s="16" t="inlineStr">
        <is>
          <t>ClCr &lt; 30: passar para 1 mg/kg 24/24h</t>
        </is>
      </c>
      <c r="E8" s="18" t="inlineStr">
        <is>
          <t>Anti-Xa (se necessário)</t>
        </is>
      </c>
      <c r="F8" s="18" t="inlineStr">
        <is>
          <t>24 horas antes</t>
        </is>
      </c>
      <c r="G8" s="18" t="inlineStr">
        <is>
          <t>Protamina (parcial, ~60%)</t>
        </is>
      </c>
    </row>
    <row r="9" ht="24" customHeight="1">
      <c r="A9" s="37" t="inlineStr">
        <is>
          <t>Rivaroxabana VO</t>
        </is>
      </c>
      <c r="B9" s="38" t="inlineStr">
        <is>
          <t>Fibrilação Atrial, tratamento TEV</t>
        </is>
      </c>
      <c r="C9" s="38" t="inlineStr">
        <is>
          <t>20 mg VO ao dia com refeição</t>
        </is>
      </c>
      <c r="D9" s="38" t="inlineStr">
        <is>
          <t>ClCr 15-50: 15 mg ao dia. &lt;15: contraind.</t>
        </is>
      </c>
      <c r="E9" s="39" t="inlineStr">
        <is>
          <t>Não rotineiro</t>
        </is>
      </c>
      <c r="F9" s="39" t="inlineStr">
        <is>
          <t>24 a 48 horas antes</t>
        </is>
      </c>
      <c r="G9" s="39" t="inlineStr">
        <is>
          <t>Andexanet Alfa (se disp.) / CCP</t>
        </is>
      </c>
    </row>
    <row r="10"/>
    <row r="11">
      <c r="A11" s="2" t="inlineStr">
        <is>
          <t>2. Estratégia de Reversão de Coagulopatias / Sangramentos Críticos</t>
        </is>
      </c>
    </row>
    <row r="12" ht="25" customHeight="1">
      <c r="A12" s="26" t="inlineStr">
        <is>
          <t>Antídoto / Hemocomponente</t>
        </is>
      </c>
      <c r="B12" s="26" t="inlineStr">
        <is>
          <t>Indicação Principal</t>
        </is>
      </c>
      <c r="C12" s="26" t="inlineStr">
        <is>
          <t>Dose Padrão na UTI</t>
        </is>
      </c>
      <c r="D12" s="26" t="inlineStr">
        <is>
          <t>Mecanismo de Ação Rápido</t>
        </is>
      </c>
      <c r="E12" s="26" t="inlineStr">
        <is>
          <t>Observações de Segurança</t>
        </is>
      </c>
    </row>
    <row r="13" ht="24" customHeight="1">
      <c r="A13" s="36" t="inlineStr">
        <is>
          <t>Sulfato de Protamina</t>
        </is>
      </c>
      <c r="B13" s="18" t="inlineStr">
        <is>
          <t>Reversão de Heparina (HNF / Enoxaparina)</t>
        </is>
      </c>
      <c r="C13" s="18" t="inlineStr">
        <is>
          <t>1 mg para cada 100 UI de HNF administrada na última hora. Máx 50mg.</t>
        </is>
      </c>
      <c r="D13" s="16" t="inlineStr">
        <is>
          <t>Neutralização química por pareamento iônico.</t>
        </is>
      </c>
      <c r="E13" s="16" t="inlineStr">
        <is>
          <t>Injetar Lentamente IV (risco de hipotensão grave e anafilaxia se rápido).</t>
        </is>
      </c>
    </row>
    <row r="14" ht="24" customHeight="1">
      <c r="A14" s="37" t="inlineStr">
        <is>
          <t>Complexo Protrombínico (CCP)</t>
        </is>
      </c>
      <c r="B14" s="39" t="inlineStr">
        <is>
          <t>Reversão imediata de Varfarina / DOACs</t>
        </is>
      </c>
      <c r="C14" s="39" t="inlineStr">
        <is>
          <t>25 a 50 UI/kg IV dependendo do RNI inicial.</t>
        </is>
      </c>
      <c r="D14" s="38" t="inlineStr">
        <is>
          <t>Concentrado de fatores II, VII, IX e X.</t>
        </is>
      </c>
      <c r="E14" s="38" t="inlineStr">
        <is>
          <t>Ação em 15 minutos. Muito superior ao Plasma para evitar sobrecarga volêmica.</t>
        </is>
      </c>
    </row>
    <row r="15" ht="24" customHeight="1">
      <c r="A15" s="36" t="inlineStr">
        <is>
          <t>Vitamina K (Fitomenadiona)</t>
        </is>
      </c>
      <c r="B15" s="18" t="inlineStr">
        <is>
          <t>Reversão de Varfarina (não emergencial)</t>
        </is>
      </c>
      <c r="C15" s="18" t="inlineStr">
        <is>
          <t>5 a 10 mg IV lento ou VO.</t>
        </is>
      </c>
      <c r="D15" s="16" t="inlineStr">
        <is>
          <t>Estimula síntese hepática de fatores.</t>
        </is>
      </c>
      <c r="E15" s="16" t="inlineStr">
        <is>
          <t>Leva de 6 a 12 horas para agir. Sempre associar CCP se sangramento ativo.</t>
        </is>
      </c>
    </row>
    <row r="16" ht="24" customHeight="1">
      <c r="A16" s="37" t="inlineStr">
        <is>
          <t>Idarucizumabe</t>
        </is>
      </c>
      <c r="B16" s="39" t="inlineStr">
        <is>
          <t>Reversão específica de Dabigatrana</t>
        </is>
      </c>
      <c r="C16" s="39" t="inlineStr">
        <is>
          <t>5 g IV (dividido em duas doses de 2,5g consecutivas).</t>
        </is>
      </c>
      <c r="D16" s="38" t="inlineStr">
        <is>
          <t>Anticorpo monoclonal neutralizante direto.</t>
        </is>
      </c>
      <c r="E16" s="38" t="inlineStr">
        <is>
          <t>Reversão completa em minutos. Permite cirurgia de emergência segura.</t>
        </is>
      </c>
    </row>
  </sheetData>
  <mergeCells count="1">
    <mergeCell ref="A1:Z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1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62" customWidth="1" min="2" max="2"/>
    <col width="142" customWidth="1" min="3" max="3"/>
    <col width="7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 ht="20" customHeight="1">
      <c r="A1" s="1" t="inlineStr">
        <is>
          <t xml:space="preserve">   SUPORTE VENTILATÓRIO E INTERPRETAÇÃO ÁCIDO-BASE INTERATIVA   </t>
        </is>
      </c>
    </row>
    <row r="2" ht="20" customHeight="1"/>
    <row r="3"/>
    <row r="4">
      <c r="A4" s="2" t="inlineStr">
        <is>
          <t>1. Calculadoras de Mecânica Ventilatória e Gasometria (Beira-Leito)</t>
        </is>
      </c>
    </row>
    <row r="5"/>
    <row r="6" ht="22" customHeight="1">
      <c r="A6" s="9" t="inlineStr">
        <is>
          <t>Gênero do Paciente (M / F)</t>
        </is>
      </c>
      <c r="B6" s="18" t="inlineStr">
        <is>
          <t>M</t>
        </is>
      </c>
      <c r="C6" s="9" t="inlineStr">
        <is>
          <t>Pressão de Platô (cmH2O)</t>
        </is>
      </c>
      <c r="D6" s="18" t="n">
        <v>24</v>
      </c>
    </row>
    <row r="7" ht="22" customHeight="1">
      <c r="A7" s="9" t="inlineStr">
        <is>
          <t>Altura do Paciente (cm)</t>
        </is>
      </c>
      <c r="B7" s="18" t="n">
        <v>175</v>
      </c>
      <c r="C7" s="9" t="inlineStr">
        <is>
          <t>PEEP Total (cmH2O)</t>
        </is>
      </c>
      <c r="D7" s="18" t="n">
        <v>8</v>
      </c>
    </row>
    <row r="8" ht="22" customHeight="1">
      <c r="A8" s="9" t="inlineStr">
        <is>
          <t>Peso Predito Calculado (kg)</t>
        </is>
      </c>
      <c r="B8" s="41">
        <f>SE(B6="M"; 50+0.91*(B7-152.4); 45.5+0.91*(B7-152.4))</f>
        <v/>
      </c>
      <c r="C8" s="9" t="inlineStr">
        <is>
          <t>Driving Pressure (cmH2O)</t>
        </is>
      </c>
      <c r="D8" s="41">
        <f>D6-D7</f>
        <v/>
      </c>
    </row>
    <row r="9" ht="22" customHeight="1">
      <c r="A9" s="9" t="inlineStr">
        <is>
          <t>Volume Corrente Alvo 6 mL/kg</t>
        </is>
      </c>
      <c r="B9" s="41">
        <f>B8*6</f>
        <v/>
      </c>
      <c r="C9" s="9" t="inlineStr">
        <is>
          <t>Volume Corrente Exalado (mL)</t>
        </is>
      </c>
      <c r="D9" s="18" t="n">
        <v>420</v>
      </c>
    </row>
    <row r="10" ht="22" customHeight="1">
      <c r="A10" s="9" t="inlineStr">
        <is>
          <t>Faixa 4 a 8 mL/kg</t>
        </is>
      </c>
      <c r="B10" s="42">
        <f>"4mL/kg: " &amp; ARRED(B8*4;0) &amp; " | 8mL/kg: " &amp; ARRED(B8*8;0)</f>
        <v/>
      </c>
      <c r="C10" s="9" t="inlineStr">
        <is>
          <t>Complacência Estática (mL/cmH2O)</t>
        </is>
      </c>
      <c r="D10" s="41">
        <f>D9/(D6-D7)</f>
        <v/>
      </c>
    </row>
    <row r="11" ht="22" customHeight="1">
      <c r="A11" s="9" t="inlineStr">
        <is>
          <t>PaO2 (Gasometria)</t>
        </is>
      </c>
      <c r="B11" s="18" t="n">
        <v>85</v>
      </c>
      <c r="C11" s="9" t="inlineStr">
        <is>
          <t>FiO2 informada (%)</t>
        </is>
      </c>
      <c r="D11" s="18" t="n">
        <v>40</v>
      </c>
    </row>
    <row r="12" ht="22" customHeight="1">
      <c r="A12" s="9" t="inlineStr">
        <is>
          <t>Relação PaO2/FiO2</t>
        </is>
      </c>
      <c r="B12" s="42">
        <f>B11/(B12/100)</f>
        <v/>
      </c>
      <c r="C12" s="9" t="inlineStr">
        <is>
          <t>Classificação SDRA</t>
        </is>
      </c>
      <c r="D12" s="42">
        <f>SE(B13&lt;100;"Grave";SE(B13&lt;200;"Moderada";SE(B13&lt;300;"Leve";"Normal")))</f>
        <v/>
      </c>
    </row>
    <row r="13" ht="22" customHeight="1">
      <c r="A13" s="9" t="inlineStr">
        <is>
          <t>Sódio Sérico (mEq/L)</t>
        </is>
      </c>
      <c r="B13" s="43" t="n">
        <v>140</v>
      </c>
      <c r="C13" s="9" t="inlineStr">
        <is>
          <t>Glicemia Atual (mg/dL)</t>
        </is>
      </c>
      <c r="D13" s="18" t="n">
        <v>350</v>
      </c>
    </row>
    <row r="14" ht="22" customHeight="1">
      <c r="A14" s="9" t="inlineStr">
        <is>
          <t>Sódio Corrigido (Hiperglicemia)</t>
        </is>
      </c>
      <c r="B14" s="42">
        <f>B15+0.016*(D15-100)</f>
        <v/>
      </c>
      <c r="C14" s="9" t="inlineStr">
        <is>
          <t>Anion Gap (Na - [Cl+HCO3])</t>
        </is>
      </c>
      <c r="D14" s="18" t="inlineStr">
        <is>
          <t>Insira Cl e HCO3 na aba calc</t>
        </is>
      </c>
    </row>
    <row r="15"/>
    <row r="16"/>
    <row r="17">
      <c r="A17" s="2" t="inlineStr">
        <is>
          <t>2. Ajustes Baseados no Distúrbio Gasométrico</t>
        </is>
      </c>
    </row>
    <row r="18" ht="25" customHeight="1">
      <c r="A18" s="26" t="inlineStr">
        <is>
          <t>Distúrbio Encontrado</t>
        </is>
      </c>
      <c r="B18" s="26" t="inlineStr">
        <is>
          <t>Objetivo Gasométrico</t>
        </is>
      </c>
      <c r="C18" s="26" t="inlineStr">
        <is>
          <t>Ação Ventilatória Primária</t>
        </is>
      </c>
      <c r="D18" s="26" t="inlineStr">
        <is>
          <t>Fisiopatologia / Mecanismo</t>
        </is>
      </c>
    </row>
    <row r="19" ht="24" customHeight="1">
      <c r="A19" s="18" t="inlineStr">
        <is>
          <t>Hipoxemia Grave (PaO2 &lt; 60 / Sat &lt; 90%)</t>
        </is>
      </c>
      <c r="B19" s="18" t="inlineStr">
        <is>
          <t>Otimizar oxigenação celular</t>
        </is>
      </c>
      <c r="C19" s="16" t="inlineStr">
        <is>
          <t>Aumentar FiO2 temporariamente; titular PEEP conforme tabela PEEP/FiO2 (ARDSNet); avaliar manobra de prona se P/F &lt; 150.</t>
        </is>
      </c>
      <c r="D19" s="16" t="inlineStr">
        <is>
          <t>Recrutamento alveolar e redução de shunt intrapulmonar.</t>
        </is>
      </c>
    </row>
    <row r="20" ht="24" customHeight="1">
      <c r="A20" s="39" t="inlineStr">
        <is>
          <t>Hipercapnia Alveolar (pH &lt; 7,25 / PaCO2 &gt; 55)</t>
        </is>
      </c>
      <c r="B20" s="39" t="inlineStr">
        <is>
          <t>Aumentar ventilação alveolar</t>
        </is>
      </c>
      <c r="C20" s="38" t="inlineStr">
        <is>
          <t>Aumentar Frequência Respiratória (até 35 bpm) ou aumentar Volume Corrente/Pressão de Controle (respeitando limite de DP &lt; 15 e Platô &lt; 30).</t>
        </is>
      </c>
      <c r="D20" s="38" t="inlineStr">
        <is>
          <t>Aumento do volume minuto total para lavagem de CO2 residual.</t>
        </is>
      </c>
    </row>
    <row r="21" ht="24" customHeight="1">
      <c r="A21" s="18" t="inlineStr">
        <is>
          <t>Auto-PEEP / Aprisionamento de Ar</t>
        </is>
      </c>
      <c r="B21" s="18" t="inlineStr">
        <is>
          <t>Reduzir aprisionamento expiratório</t>
        </is>
      </c>
      <c r="C21" s="16" t="inlineStr">
        <is>
          <t>Diminuir FR, aumentar tempo expiratório (reduzir relação I:E para 1:4 ou 1:5), aumentar velocidade de fluxo.</t>
        </is>
      </c>
      <c r="D21" s="16" t="inlineStr">
        <is>
          <t>Permite esvaziamento pulmonar completo em DPOC/Asma grave.</t>
        </is>
      </c>
    </row>
  </sheetData>
  <mergeCells count="1">
    <mergeCell ref="A1:Z2"/>
  </mergeCells>
  <dataValidations count="1">
    <dataValidation sqref="B6" showDropDown="0" showInputMessage="0" showErrorMessage="0" allowBlank="1" type="list">
      <formula1>"M,F"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4"/>
  <sheetViews>
    <sheetView showGridLines="1" workbookViewId="0">
      <selection activeCell="A1" sqref="A1"/>
    </sheetView>
  </sheetViews>
  <sheetFormatPr baseColWidth="8" defaultRowHeight="15"/>
  <cols>
    <col width="467" customWidth="1" min="1" max="1"/>
    <col width="47" customWidth="1" min="2" max="2"/>
    <col width="19" customWidth="1" min="3" max="3"/>
    <col width="11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 ht="20" customHeight="1">
      <c r="A1" s="1" t="inlineStr">
        <is>
          <t xml:space="preserve">   DIRETRIZES DA SURVIVING SEPSIS CAMPAIGN E ESCORES DE DISFUNÇÃO   </t>
        </is>
      </c>
    </row>
    <row r="2" ht="20" customHeight="1"/>
    <row r="3"/>
    <row r="4">
      <c r="A4" s="2" t="inlineStr">
        <is>
          <t>1. Bundle de 1 Hora - Condutas Imediatas Obrigatórias</t>
        </is>
      </c>
    </row>
    <row r="5" ht="25" customHeight="1">
      <c r="A5" s="3" t="inlineStr">
        <is>
          <t>Passo</t>
        </is>
      </c>
      <c r="B5" s="3" t="inlineStr">
        <is>
          <t>Intervenção Crítica</t>
        </is>
      </c>
      <c r="C5" s="3" t="inlineStr">
        <is>
          <t>Meta de Tempo</t>
        </is>
      </c>
      <c r="D5" s="3" t="inlineStr">
        <is>
          <t>Racional Fisiopatológico / Alvo Clínico</t>
        </is>
      </c>
    </row>
    <row r="6" ht="24" customHeight="1">
      <c r="A6" s="18" t="inlineStr">
        <is>
          <t>1</t>
        </is>
      </c>
      <c r="B6" s="16" t="inlineStr">
        <is>
          <t>Medir o nível de Lactato sérico</t>
        </is>
      </c>
      <c r="C6" s="18" t="inlineStr">
        <is>
          <t>Imediato (&lt;1h)</t>
        </is>
      </c>
      <c r="D6" s="16" t="inlineStr">
        <is>
          <t>Identificar hipoperfusão tecidual oculta. Se lactato &gt; 2 mmol/L, repetir em 2-4h para guiar clearance.</t>
        </is>
      </c>
    </row>
    <row r="7" ht="24" customHeight="1">
      <c r="A7" s="39" t="inlineStr">
        <is>
          <t>2</t>
        </is>
      </c>
      <c r="B7" s="38" t="inlineStr">
        <is>
          <t>Coletar Culturas (Hemoculturas - 2 pares)</t>
        </is>
      </c>
      <c r="C7" s="39" t="inlineStr">
        <is>
          <t>Antes do ATB</t>
        </is>
      </c>
      <c r="D7" s="38" t="inlineStr">
        <is>
          <t>Isolamento microbiológico sem sofrer interferência bactericida do antibiótico. Não atrasar ATB &gt; 45 min por isso.</t>
        </is>
      </c>
    </row>
    <row r="8" ht="24" customHeight="1">
      <c r="A8" s="18" t="inlineStr">
        <is>
          <t>3</t>
        </is>
      </c>
      <c r="B8" s="16" t="inlineStr">
        <is>
          <t>Administrar Antimicrobiano de amplo espectro</t>
        </is>
      </c>
      <c r="C8" s="18" t="inlineStr">
        <is>
          <t>Na primeira hora</t>
        </is>
      </c>
      <c r="D8" s="16" t="inlineStr">
        <is>
          <t>Redução drástica da mortalidade. Cobrir focos prováveis conforme protocolo institucional.</t>
        </is>
      </c>
    </row>
    <row r="9" ht="24" customHeight="1">
      <c r="A9" s="39" t="inlineStr">
        <is>
          <t>4</t>
        </is>
      </c>
      <c r="B9" s="38" t="inlineStr">
        <is>
          <t>Ressuscitação volêmica com Cristaloides</t>
        </is>
      </c>
      <c r="C9" s="39" t="inlineStr">
        <is>
          <t>Nas primeiras 3h</t>
        </is>
      </c>
      <c r="D9" s="38" t="inlineStr">
        <is>
          <t>30 mL/kg de soro se hipotensão arterial ou lactato &gt;= 4 mmol/L. Preferir Ringer Lactato (soluções balanceadas).</t>
        </is>
      </c>
    </row>
    <row r="10" ht="24" customHeight="1">
      <c r="A10" s="18" t="inlineStr">
        <is>
          <t>5</t>
        </is>
      </c>
      <c r="B10" s="16" t="inlineStr">
        <is>
          <t>Iniciar Vasopressor (Noradrenalina)</t>
        </is>
      </c>
      <c r="C10" s="18" t="inlineStr">
        <is>
          <t>Imediato</t>
        </is>
      </c>
      <c r="D10" s="16" t="inlineStr">
        <is>
          <t>Se PAM &lt; 65 mmHg durante ou imediatamente após a expansão inicial. Alvo primário: PAM &gt;= 65 mmHg.</t>
        </is>
      </c>
    </row>
    <row r="11"/>
    <row r="12">
      <c r="A12" s="2" t="inlineStr">
        <is>
          <t>2. Fluxograma Clínico em Linha de Texto Sequencial:</t>
        </is>
      </c>
    </row>
    <row r="13">
      <c r="A13" s="44" t="inlineStr">
        <is>
          <t>Suspeita de Infecção Orgânica ➔ Triagem por Escore SOFA/qSOFA ➔ Coleta de Culturas e Lactato Rápido ➔ Antibioticoterapia Empírica Ampla em &lt;60 min ➔ Expansão Volêmica Guiada por Fluido-Responsividade (30mL/kg se Choque) ➔ Falha Macrodinâmica? ➔ Iniciar Noradrenalina para Meta de PAM &gt;= 65 mmHg ➔ Adicionar Vasopressina se Nora &gt; 0.25 mcg/kg/min ➔ Corticoterapia se Choque Refratário ➔ Controle Definitivo do Foco Infeccioso em &lt;12h ➔ Reavaliação e Descalonamento.</t>
        </is>
      </c>
    </row>
    <row r="14"/>
  </sheetData>
  <mergeCells count="2">
    <mergeCell ref="A1:Z2"/>
    <mergeCell ref="A13:D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6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79" customWidth="1" min="2" max="2"/>
    <col width="92" customWidth="1" min="3" max="3"/>
    <col width="28" customWidth="1" min="4" max="4"/>
    <col width="55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 ht="20" customHeight="1">
      <c r="A1" s="1" t="inlineStr">
        <is>
          <t xml:space="preserve">   CHECKLIST DIÁRIO MULTIDISCIPLINAR À BEIRA-LEITO (FAST-HUG-BID MODIFICADO)   </t>
        </is>
      </c>
    </row>
    <row r="2" ht="20" customHeight="1"/>
    <row r="3"/>
    <row r="4">
      <c r="A4" s="12" t="inlineStr">
        <is>
          <t>Escore de Completude do Checklist:</t>
        </is>
      </c>
      <c r="C4" s="45">
        <f>CONT.SE(C7:C27;"Concluído") / (CONT.SE(C7:C27;"Concluído") + CONT.SE(C7:C27;"Pendente"))</f>
        <v/>
      </c>
    </row>
    <row r="5"/>
    <row r="6" ht="25" customHeight="1">
      <c r="A6" s="3" t="inlineStr">
        <is>
          <t>Componente (FAST-HUG)</t>
        </is>
      </c>
      <c r="B6" s="3" t="inlineStr">
        <is>
          <t>Verificação Obrigatória Clinica</t>
        </is>
      </c>
      <c r="C6" s="3" t="inlineStr">
        <is>
          <t>Status</t>
        </is>
      </c>
      <c r="D6" s="3" t="inlineStr">
        <is>
          <t>Responsável</t>
        </is>
      </c>
      <c r="E6" s="3" t="inlineStr">
        <is>
          <t>Observações Específicas / Alvos</t>
        </is>
      </c>
    </row>
    <row r="7" ht="24" customHeight="1">
      <c r="A7" s="5" t="inlineStr">
        <is>
          <t>F - Feeding (Nutrição)</t>
        </is>
      </c>
      <c r="B7" s="6" t="inlineStr">
        <is>
          <t>Avaliar aporte calórico/proteico. Dieta enteral iniciada em 24-48h?</t>
        </is>
      </c>
      <c r="C7" s="4" t="inlineStr">
        <is>
          <t>Pendente</t>
        </is>
      </c>
      <c r="D7" s="4" t="inlineStr">
        <is>
          <t>Médico / Nutrição</t>
        </is>
      </c>
      <c r="E7" s="23" t="inlineStr">
        <is>
          <t>Alvo: 25 kcal/kg/dia.</t>
        </is>
      </c>
    </row>
    <row r="8" ht="24" customHeight="1">
      <c r="A8" s="9" t="inlineStr">
        <is>
          <t>A - Analgesia</t>
        </is>
      </c>
      <c r="B8" s="10" t="inlineStr">
        <is>
          <t>Avaliar dor por escalas visuais, comportamentais (BPS/CPOT). Dor controlada?</t>
        </is>
      </c>
      <c r="C8" s="8" t="inlineStr">
        <is>
          <t>Pendente</t>
        </is>
      </c>
      <c r="D8" s="8" t="inlineStr">
        <is>
          <t>Enfermagem / Fisioterapia</t>
        </is>
      </c>
      <c r="E8" s="24" t="inlineStr">
        <is>
          <t>Analgesia antes de sedar.</t>
        </is>
      </c>
    </row>
    <row r="9" ht="24" customHeight="1">
      <c r="A9" s="5" t="inlineStr">
        <is>
          <t>S - Sedation (Sedação)</t>
        </is>
      </c>
      <c r="B9" s="6" t="inlineStr">
        <is>
          <t>Avaliar nível de sedação por escala RASS. Paciente no alvo estipulado?</t>
        </is>
      </c>
      <c r="C9" s="4" t="inlineStr">
        <is>
          <t>Pendente</t>
        </is>
      </c>
      <c r="D9" s="4" t="inlineStr">
        <is>
          <t>Médico / Enfermagem</t>
        </is>
      </c>
      <c r="E9" s="23" t="inlineStr">
        <is>
          <t>Evitar super-sedação crônica.</t>
        </is>
      </c>
    </row>
    <row r="10" ht="24" customHeight="1">
      <c r="A10" s="9" t="inlineStr">
        <is>
          <t>T - Thromboembolism</t>
        </is>
      </c>
      <c r="B10" s="10" t="inlineStr">
        <is>
          <t>Profilaxia de TEV ativa? Enoxaparina ou Heparina SC aplicadas?</t>
        </is>
      </c>
      <c r="C10" s="8" t="inlineStr">
        <is>
          <t>Pendente</t>
        </is>
      </c>
      <c r="D10" s="8" t="inlineStr">
        <is>
          <t>Médico / Enfermagem</t>
        </is>
      </c>
      <c r="E10" s="24" t="inlineStr">
        <is>
          <t>Checar contraindicações diariamente.</t>
        </is>
      </c>
    </row>
    <row r="11" ht="24" customHeight="1">
      <c r="A11" s="5" t="inlineStr">
        <is>
          <t>H - Head Elevation</t>
        </is>
      </c>
      <c r="B11" s="6" t="inlineStr">
        <is>
          <t>Cabeceira do leito elevada entre 30 e 45 graus?</t>
        </is>
      </c>
      <c r="C11" s="4" t="inlineStr">
        <is>
          <t>Pendente</t>
        </is>
      </c>
      <c r="D11" s="4" t="inlineStr">
        <is>
          <t>Enfermagem / Fisioterapia</t>
        </is>
      </c>
      <c r="E11" s="23" t="inlineStr">
        <is>
          <t>Prevenção primária de PAV.</t>
        </is>
      </c>
    </row>
    <row r="12" ht="24" customHeight="1">
      <c r="A12" s="9" t="inlineStr">
        <is>
          <t>U - Ulcer Prophylaxis</t>
        </is>
      </c>
      <c r="B12" s="10" t="inlineStr">
        <is>
          <t>Profilaxia de úlcera de estresse indicada? (Bloqueador H2 ou IBP)?</t>
        </is>
      </c>
      <c r="C12" s="8" t="inlineStr">
        <is>
          <t>Pendente</t>
        </is>
      </c>
      <c r="D12" s="8" t="inlineStr">
        <is>
          <t>Médico</t>
        </is>
      </c>
      <c r="E12" s="24" t="inlineStr">
        <is>
          <t>Apenas se fatores de risco reais (VM, Coagulopatia).</t>
        </is>
      </c>
    </row>
    <row r="13" ht="24" customHeight="1">
      <c r="A13" s="5" t="inlineStr">
        <is>
          <t>G - Glucose Control</t>
        </is>
      </c>
      <c r="B13" s="6" t="inlineStr">
        <is>
          <t>Controle glicêmico realizado? Glicemias capilares checadas?</t>
        </is>
      </c>
      <c r="C13" s="4" t="inlineStr">
        <is>
          <t>Pendente</t>
        </is>
      </c>
      <c r="D13" s="4" t="inlineStr">
        <is>
          <t>Enfermagem</t>
        </is>
      </c>
      <c r="E13" s="23" t="inlineStr">
        <is>
          <t>Alvo na UTI: 140 a 180 mg/dL.</t>
        </is>
      </c>
    </row>
    <row r="14" ht="24" customHeight="1">
      <c r="A14" s="9" t="inlineStr">
        <is>
          <t>B - Bowel Movement</t>
        </is>
      </c>
      <c r="B14" s="10" t="inlineStr">
        <is>
          <t>Paciente evacuou? Presença de ruídos hidroaéreos / distensão?</t>
        </is>
      </c>
      <c r="C14" s="8" t="inlineStr">
        <is>
          <t>Pendente</t>
        </is>
      </c>
      <c r="D14" s="8" t="inlineStr">
        <is>
          <t>Enfermagem / Médico</t>
        </is>
      </c>
      <c r="E14" s="24" t="inlineStr">
        <is>
          <t>Evitar constipação &gt; 3 dias.</t>
        </is>
      </c>
    </row>
    <row r="15" ht="24" customHeight="1">
      <c r="A15" s="5" t="inlineStr">
        <is>
          <t>I - Indwelling Devices</t>
        </is>
      </c>
      <c r="B15" s="6" t="inlineStr">
        <is>
          <t>Cateteres e sondas revisados? Algum dispositivo sem indicação?</t>
        </is>
      </c>
      <c r="C15" s="4" t="inlineStr">
        <is>
          <t>Pendente</t>
        </is>
      </c>
      <c r="D15" s="4" t="inlineStr">
        <is>
          <t>Médico / Enfermagem</t>
        </is>
      </c>
      <c r="E15" s="23" t="inlineStr">
        <is>
          <t>Retirar acessos desnecessários hoje.</t>
        </is>
      </c>
    </row>
    <row r="16" ht="24" customHeight="1">
      <c r="A16" s="9" t="inlineStr">
        <is>
          <t>D - De-escalation ATB</t>
        </is>
      </c>
      <c r="B16" s="10" t="inlineStr">
        <is>
          <t>Revisão diária de antibióticos e culturas. Possível descalonar/suspender?</t>
        </is>
      </c>
      <c r="C16" s="8" t="inlineStr">
        <is>
          <t>Pendente</t>
        </is>
      </c>
      <c r="D16" s="8" t="inlineStr">
        <is>
          <t>Médico / CCIH</t>
        </is>
      </c>
      <c r="E16" s="24" t="inlineStr">
        <is>
          <t>Evitar espectro desnecessário.</t>
        </is>
      </c>
    </row>
  </sheetData>
  <mergeCells count="1">
    <mergeCell ref="A1:Z2"/>
  </mergeCells>
  <dataValidations count="1">
    <dataValidation sqref="C7 C8 C9 C10 C11 C12 C13 C14 C15 C16" showDropDown="0" showInputMessage="0" showErrorMessage="0" allowBlank="1" type="list">
      <formula1>"Concluído,Pendente,Não se aplica"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9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67" customWidth="1" min="2" max="2"/>
    <col width="69" customWidth="1" min="3" max="3"/>
    <col width="66" customWidth="1" min="4" max="4"/>
    <col width="3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 ht="20" customHeight="1">
      <c r="A1" s="1" t="inlineStr">
        <is>
          <t xml:space="preserve">   CALCULADORAS CLÍNICAS E PROTOCOLOS DE INFUSÃO DINÂMICA   </t>
        </is>
      </c>
    </row>
    <row r="2" ht="20" customHeight="1"/>
    <row r="3"/>
    <row r="4">
      <c r="A4" s="2" t="inlineStr">
        <is>
          <t>1. Clearance de Creatinina (Cockcroft-Gault)</t>
        </is>
      </c>
      <c r="D4" s="2" t="inlineStr">
        <is>
          <t>2. Calculadora de Dose de Noradrenalina</t>
        </is>
      </c>
    </row>
    <row r="5">
      <c r="A5" s="5" t="inlineStr">
        <is>
          <t>Idade (anos)</t>
        </is>
      </c>
      <c r="B5" s="4" t="n">
        <v>65</v>
      </c>
      <c r="D5" s="5" t="inlineStr">
        <is>
          <t>Velocidade de Infusão (mL/h)</t>
        </is>
      </c>
      <c r="E5" s="4" t="n">
        <v>15</v>
      </c>
    </row>
    <row r="6">
      <c r="A6" s="5" t="inlineStr">
        <is>
          <t>Peso Atual (kg)</t>
        </is>
      </c>
      <c r="B6" s="4" t="n">
        <v>70</v>
      </c>
      <c r="D6" s="5" t="inlineStr">
        <is>
          <t>Massa de Nora na Solução (mg)</t>
        </is>
      </c>
      <c r="E6" s="4" t="n">
        <v>16</v>
      </c>
    </row>
    <row r="7">
      <c r="A7" s="5" t="inlineStr">
        <is>
          <t>Creatinina Sérica (mg/dL)</t>
        </is>
      </c>
      <c r="B7" s="4" t="n">
        <v>1.4</v>
      </c>
      <c r="D7" s="5" t="inlineStr">
        <is>
          <t>Volume Total da Solução (mL)</t>
        </is>
      </c>
      <c r="E7" s="4" t="n">
        <v>250</v>
      </c>
    </row>
    <row r="8">
      <c r="A8" s="5" t="inlineStr">
        <is>
          <t>Gênero (M / F)</t>
        </is>
      </c>
      <c r="B8" s="4" t="inlineStr">
        <is>
          <t>M</t>
        </is>
      </c>
      <c r="D8" s="5" t="inlineStr">
        <is>
          <t>Peso do Paciente (kg)</t>
        </is>
      </c>
      <c r="E8" s="4" t="n">
        <v>70</v>
      </c>
    </row>
    <row r="9">
      <c r="A9" s="5" t="inlineStr">
        <is>
          <t>ClCr Estimado (mL/min)</t>
        </is>
      </c>
      <c r="B9" s="41">
        <f>SE(B8="M"; ((140-B5)*B6)/(72*B7); (((140-B5)*B6)/(72*B7))*0.85)</f>
        <v/>
      </c>
      <c r="D9" s="5" t="inlineStr">
        <is>
          <t>Dose (mcg/kg/min)</t>
        </is>
      </c>
      <c r="E9" s="46">
        <f>((E5 * E6 * 1000) / E7) / (E8 * 60)</f>
        <v/>
      </c>
    </row>
    <row r="10"/>
    <row r="11"/>
    <row r="12">
      <c r="A12" s="2" t="inlineStr">
        <is>
          <t>3. Protocolo de Insulina Regular em BIC (CAD / Estado Hiperosmolar / Crítico)</t>
        </is>
      </c>
    </row>
    <row r="13" ht="25" customHeight="1">
      <c r="A13" s="26" t="inlineStr">
        <is>
          <t>Glicemia Atual (mg/dL)</t>
        </is>
      </c>
      <c r="B13" s="26" t="inlineStr">
        <is>
          <t>Ação / Velocidade da BIC (UI/h)</t>
        </is>
      </c>
      <c r="C13" s="26" t="inlineStr">
        <is>
          <t>Ajuste / Monitorização Semanal</t>
        </is>
      </c>
      <c r="D13" s="26" t="inlineStr">
        <is>
          <t>Observações de Segurança</t>
        </is>
      </c>
    </row>
    <row r="14" ht="24" customHeight="1">
      <c r="A14" s="27" t="inlineStr">
        <is>
          <t>&lt; 70 mg/dL</t>
        </is>
      </c>
      <c r="B14" s="16" t="inlineStr">
        <is>
          <t>DESLIGAR BIC + Aplicar 40mL de Glicose 50% IV</t>
        </is>
      </c>
      <c r="C14" s="16" t="inlineStr">
        <is>
          <t>Checar glicemia de 15 em 15 minutos até ficar &gt; 100 mg/dL.</t>
        </is>
      </c>
      <c r="D14" s="16" t="inlineStr">
        <is>
          <t>Risco crítico de neuroglicopenia fatal.</t>
        </is>
      </c>
    </row>
    <row r="15" ht="24" customHeight="1">
      <c r="A15" s="28" t="inlineStr">
        <is>
          <t>70 - 140 mg/dL</t>
        </is>
      </c>
      <c r="B15" s="38" t="inlineStr">
        <is>
          <t>Reduzir infusão pela metade ou manter 0.5 UI/h</t>
        </is>
      </c>
      <c r="C15" s="38" t="inlineStr">
        <is>
          <t>Checar glicemia de 2h em 2h.</t>
        </is>
      </c>
      <c r="D15" s="38" t="inlineStr">
        <is>
          <t>Alvo conservador seguro.</t>
        </is>
      </c>
    </row>
    <row r="16" ht="24" customHeight="1">
      <c r="A16" s="47" t="inlineStr">
        <is>
          <t>141 - 180 mg/dL</t>
        </is>
      </c>
      <c r="B16" s="16" t="inlineStr">
        <is>
          <t>Manter taxa atual se em queda estável</t>
        </is>
      </c>
      <c r="C16" s="16" t="inlineStr">
        <is>
          <t>Alvo ideal na UTI adulto para a maioria dos pacientes críticos.</t>
        </is>
      </c>
      <c r="D16" s="16" t="inlineStr">
        <is>
          <t>Faixa de segurança ideal recomendada.</t>
        </is>
      </c>
    </row>
    <row r="17" ht="24" customHeight="1">
      <c r="A17" s="28" t="inlineStr">
        <is>
          <t>181 - 240 mg/dL</t>
        </is>
      </c>
      <c r="B17" s="38" t="inlineStr">
        <is>
          <t>Iniciar ou aumentar BIC em 1,0 UI/h</t>
        </is>
      </c>
      <c r="C17" s="38" t="inlineStr">
        <is>
          <t>Verificar de 1h em 1h até estabilização.</t>
        </is>
      </c>
      <c r="D17" s="38" t="inlineStr">
        <is>
          <t>Diluição padrão: 100 UI Insulina Reg + 100mL SF 0,9% (1 UI/mL).</t>
        </is>
      </c>
    </row>
    <row r="18" ht="24" customHeight="1">
      <c r="A18" s="47" t="inlineStr">
        <is>
          <t>241 - 300 mg/dL</t>
        </is>
      </c>
      <c r="B18" s="16" t="inlineStr">
        <is>
          <t>Aumentar infusão em 2,0 UI/h</t>
        </is>
      </c>
      <c r="C18" s="16" t="inlineStr">
        <is>
          <t>Se a glicemia não cair &gt; 10% em 1h, dobrar o passo de ajuste.</t>
        </is>
      </c>
      <c r="D18" s="16" t="inlineStr">
        <is>
          <t>Fase inicial de resistência periférica extrema.</t>
        </is>
      </c>
    </row>
    <row r="19" ht="24" customHeight="1">
      <c r="A19" s="28" t="inlineStr">
        <is>
          <t>&gt; 300 mg/dL</t>
        </is>
      </c>
      <c r="B19" s="38" t="inlineStr">
        <is>
          <t>Aumentar infusão em 4,0 UI/h + avaliar bolus inicial</t>
        </is>
      </c>
      <c r="C19" s="38" t="inlineStr">
        <is>
          <t>Checar rigorosamente de 1h em 1h. Vigiar queda rápida de potássio.</t>
        </is>
      </c>
      <c r="D19" s="38" t="inlineStr">
        <is>
          <t>Se CAD: repor Potássio antes se K &lt; 3.3 mEq/L.</t>
        </is>
      </c>
    </row>
  </sheetData>
  <mergeCells count="1">
    <mergeCell ref="A1:Z2"/>
  </mergeCells>
  <dataValidations count="1">
    <dataValidation sqref="B8" showDropDown="0" showInputMessage="0" showErrorMessage="0" allowBlank="1" type="list">
      <formula1>"M,F"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80" customWidth="1" min="2" max="2"/>
    <col width="4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 ht="20" customHeight="1">
      <c r="A1" s="1" t="inlineStr">
        <is>
          <t xml:space="preserve">   ALGORITMOS DE CONDUTA IMEDIATA PARA 20 EMERGÊNCIAS DA UTI   </t>
        </is>
      </c>
    </row>
    <row r="2" ht="20" customHeight="1"/>
    <row r="3"/>
    <row r="4" ht="25" customHeight="1">
      <c r="A4" s="3" t="inlineStr">
        <is>
          <t>Cenário Clínico de Emergência</t>
        </is>
      </c>
      <c r="B4" s="3" t="inlineStr">
        <is>
          <t>Estratégia e Condutas Imediatas (Passo a Passo Sequencial)</t>
        </is>
      </c>
      <c r="C4" s="3" t="inlineStr">
        <is>
          <t>Alvo Terapêutico Principal</t>
        </is>
      </c>
    </row>
    <row r="5" ht="32" customHeight="1">
      <c r="A5" s="47" t="inlineStr">
        <is>
          <t>Choque Séptico</t>
        </is>
      </c>
      <c r="B5" s="16" t="inlineStr">
        <is>
          <t>Cristaloide 30mL/kg em até 3h ➔ Noradrenalina se PAM &lt; 65 ➔ Corticoide (Hidrocortisona 200mg/dia) se refratário ➔ Coleta de culturas + ATB amplo na 1ª hora.</t>
        </is>
      </c>
      <c r="C5" s="16" t="inlineStr">
        <is>
          <t>PAM &gt;= 65 mmHg, Clearance Lactato &gt; 10%</t>
        </is>
      </c>
    </row>
    <row r="6" ht="32" customHeight="1">
      <c r="A6" s="28" t="inlineStr">
        <is>
          <t>Choque Cardiogênico</t>
        </is>
      </c>
      <c r="B6" s="38" t="inlineStr">
        <is>
          <t>Inotrópicos (Dobutamina) + Monitorização invasiva ➔ Considerar suporte mecânico (Balão Intra-aórtico / ECMO VA) ➔ Evitar sobrecarga de fluidos.</t>
        </is>
      </c>
      <c r="C6" s="38" t="inlineStr">
        <is>
          <t>IC &gt; 2.2 L/min/m², redução de congestão</t>
        </is>
      </c>
    </row>
    <row r="7" ht="32" customHeight="1">
      <c r="A7" s="47" t="inlineStr">
        <is>
          <t>Choque Obstrutivo (TEP)</t>
        </is>
      </c>
      <c r="B7" s="16" t="inlineStr">
        <is>
          <t>Se instabilidade hemodinâmica: Trombólise química imediata (Alteplase) ou embolectomia ➔ Oxigênio / VM protetora ➔ Evitar altas pressões de PEEP.</t>
        </is>
      </c>
      <c r="C7" s="16" t="inlineStr">
        <is>
          <t>Descarga de ventrículo direito</t>
        </is>
      </c>
    </row>
    <row r="8" ht="32" customHeight="1">
      <c r="A8" s="28" t="inlineStr">
        <is>
          <t>Choque Hipovolêmico</t>
        </is>
      </c>
      <c r="B8" s="38" t="inlineStr">
        <is>
          <t>Reposição volêmica agressiva com cristaloides ou hemocomponentes (Protocolo de Transfusão Maciça se hemorrágico) ➔ Controle cirúrgico do sangramento.</t>
        </is>
      </c>
      <c r="C8" s="38" t="inlineStr">
        <is>
          <t>Restauração de volume circulante efetivo</t>
        </is>
      </c>
    </row>
    <row r="9" ht="32" customHeight="1">
      <c r="A9" s="47" t="inlineStr">
        <is>
          <t>Hipoxemia Grave em VM</t>
        </is>
      </c>
      <c r="B9" s="16" t="inlineStr">
        <is>
          <t>Aumentar FiO2 para 100% ➔ Otimizar PEEP ➔ Checar assincronias e mecânica (Platô/Driving) ➔ Se SDRA grave: Posição Prona por pelo menos 16 horas.</t>
        </is>
      </c>
      <c r="C9" s="16" t="inlineStr">
        <is>
          <t>SatO2 92-96%, PaO2 &gt; 60 mmHg</t>
        </is>
      </c>
    </row>
    <row r="10" ht="32" customHeight="1">
      <c r="A10" s="28" t="inlineStr">
        <is>
          <t>Hipercapnia em DPOC/Asma</t>
        </is>
      </c>
      <c r="B10" s="38" t="inlineStr">
        <is>
          <t>VNI precoce se consciente ➔ Se IOT: FR baixa (10-12 bpm), tempo expiratório prolongado, evitar auto-PEEP ➔ Broncodilatadores IV/Inalatórios.</t>
        </is>
      </c>
      <c r="C10" s="38" t="inlineStr">
        <is>
          <t>pH &gt; 7.25, resolução de fadiga muscular</t>
        </is>
      </c>
    </row>
    <row r="11" ht="32" customHeight="1">
      <c r="A11" s="47" t="inlineStr">
        <is>
          <t>Oligúria / LRA Aguda</t>
        </is>
      </c>
      <c r="B11" s="16" t="inlineStr">
        <is>
          <t>Avaliar status volêmico (evitar diuréticos se hipovolemia) ➔ Suspender drogas nefrotóxicas ➔ Otimizar PAM ➔ Indicar diálise se uremia/hipercalemia refratária.</t>
        </is>
      </c>
      <c r="C11" s="16" t="inlineStr">
        <is>
          <t>Débito urinário &gt; 0.5 mL/kg/h</t>
        </is>
      </c>
    </row>
    <row r="12" ht="32" customHeight="1">
      <c r="A12" s="28" t="inlineStr">
        <is>
          <t>Hipercalemia Grave (K &gt; 6.5)</t>
        </is>
      </c>
      <c r="B12" s="38" t="inlineStr">
        <is>
          <t>Gluconato de Cálcio 10% IV (estabilização miocárdica) ➔ Solução Polarizante (Glicose + Insulina) ➔ Sorcal ou Diuréticos de alça ➔ Diálise de urgência.</t>
        </is>
      </c>
      <c r="C12" s="38" t="inlineStr">
        <is>
          <t>K &lt; 5.5 mEq/L, normalizar ECG</t>
        </is>
      </c>
    </row>
    <row r="13" ht="32" customHeight="1">
      <c r="A13" s="47" t="inlineStr">
        <is>
          <t>Hiponatremia Grave (&lt; 125)</t>
        </is>
      </c>
      <c r="B13" s="16" t="inlineStr">
        <is>
          <t>Se sintomas neurológicos/convulsão: Salina Hipertônica 3% (100mL IV em 10-20 min, max 3x) ➔ Limitar correção a 8-10 mEq/L nas primeiras 24 horas.</t>
        </is>
      </c>
      <c r="C13" s="16" t="inlineStr">
        <is>
          <t>Prevenção de Mielinólise Pontina Central</t>
        </is>
      </c>
    </row>
    <row r="14" ht="32" customHeight="1">
      <c r="A14" s="28" t="inlineStr">
        <is>
          <t>Status Epilepticus</t>
        </is>
      </c>
      <c r="B14" s="38" t="inlineStr">
        <is>
          <t>Benzodiazepínico IV (Diazepam/Midazolam) ➔ Ataque com Levetiracetam ou Fenitoína ➔ Se refratário: IOT imediata e anestésicos contínuos (Propofol/Midazolam).</t>
        </is>
      </c>
      <c r="C14" s="38" t="inlineStr">
        <is>
          <t>Cessar atividade convulsiva clínica e EEG</t>
        </is>
      </c>
    </row>
    <row r="15" ht="32" customHeight="1">
      <c r="A15" s="47" t="inlineStr">
        <is>
          <t>Delirium Hiperativo</t>
        </is>
      </c>
      <c r="B15" s="16" t="inlineStr">
        <is>
          <t>Medidas não farmacológicas (reorientação, luz) ➔ Antipsicóticos de baixa dose (Haloperidol IV ou Quetiapina VO) ➔ Evitar restrição física excessiva.</t>
        </is>
      </c>
      <c r="C15" s="16" t="inlineStr">
        <is>
          <t>Segurança do paciente, RASS 0/-1</t>
        </is>
      </c>
    </row>
    <row r="16" ht="32" customHeight="1">
      <c r="A16" s="28" t="inlineStr">
        <is>
          <t>Agitação Psicomotora Grave</t>
        </is>
      </c>
      <c r="B16" s="38" t="inlineStr">
        <is>
          <t>Dexmedetomidina se desmame ventilatório ➔ Propofol se intubado ➔ Identificar dor oculta ou impactação fecal/retenção urinária.</t>
        </is>
      </c>
      <c r="C16" s="38" t="inlineStr">
        <is>
          <t>Controle de agitação sem depressão resp.</t>
        </is>
      </c>
    </row>
    <row r="17" ht="32" customHeight="1">
      <c r="A17" s="47" t="inlineStr">
        <is>
          <t>Febre na UTI</t>
        </is>
      </c>
      <c r="B17" s="16" t="inlineStr">
        <is>
          <t>Coletar novas culturas se foco novo ou &gt; 48h das anteriores ➔ Antitérmicos físicos/químicos ➔ Avaliar causas não infecciosas (TVP, febre central).</t>
        </is>
      </c>
      <c r="C17" s="16" t="inlineStr">
        <is>
          <t>Conforto e redução do consumo de O2</t>
        </is>
      </c>
    </row>
    <row r="18" ht="32" customHeight="1">
      <c r="A18" s="28" t="inlineStr">
        <is>
          <t>Hipoglicemia Grave (&lt; 70)</t>
        </is>
      </c>
      <c r="B18" s="38" t="inlineStr">
        <is>
          <t>Desligar BIC de Insulina ➔ Infundir 40-60 mL de Glicose 50% IV direto ➔ Reavaliar glicemia capilar em 15 minutos.</t>
        </is>
      </c>
      <c r="C18" s="38" t="inlineStr">
        <is>
          <t>Glicemia &gt; 100 mg/dL rápido</t>
        </is>
      </c>
    </row>
    <row r="19" ht="32" customHeight="1">
      <c r="A19" s="47" t="inlineStr">
        <is>
          <t>Hiperglicemia / CAD</t>
        </is>
      </c>
      <c r="B19" s="16" t="inlineStr">
        <is>
          <t>BIC de Insulina Regular (0.1 UI/kg/h) ➔ Reposição volêmica vigorosa ➔ Repor Potássio se &lt; 5.2 mEq/L ➔ Transição para SC quando bicarb &gt; 15 e paciente comendo.</t>
        </is>
      </c>
      <c r="C19" s="16" t="inlineStr">
        <is>
          <t>Resolução da acidose e clareamento de cetonas</t>
        </is>
      </c>
    </row>
    <row r="20" ht="32" customHeight="1">
      <c r="A20" s="28" t="inlineStr">
        <is>
          <t>Sangramento em Anticoagulado</t>
        </is>
      </c>
      <c r="B20" s="38" t="inlineStr">
        <is>
          <t>Suspender anticoagulante ➔ Administrar antídoto específico (Protamina para Heparina; CCP para Varfarina/DOACs) ➔ Transfusão de hemocomponentes guiada por metas.</t>
        </is>
      </c>
      <c r="C20" s="38" t="inlineStr">
        <is>
          <t>Hemostasia cirúrgica/clínica efetiva</t>
        </is>
      </c>
    </row>
    <row r="21" ht="32" customHeight="1">
      <c r="A21" s="47" t="inlineStr">
        <is>
          <t>Parada Cardiorrespiratória</t>
        </is>
      </c>
      <c r="B21" s="16" t="inlineStr">
        <is>
          <t>RCP de alta qualidade (100-120/min) ➔ Minimizar interrupções ➔ Desfibrilação precoce se ritmo chocável (Fibrilação Ventricular / TV sem pulso) ➔ Adrenalina q3-5 min.</t>
        </is>
      </c>
      <c r="C21" s="16" t="inlineStr">
        <is>
          <t>Retorno à circulação espontânea (RCE)</t>
        </is>
      </c>
    </row>
    <row r="22" ht="32" customHeight="1">
      <c r="A22" s="28" t="inlineStr">
        <is>
          <t>AVC Isquêmico Agudo</t>
        </is>
      </c>
      <c r="B22" s="38" t="inlineStr">
        <is>
          <t>Avaliar trombólise se &lt; 4.5h do início dos sintomas e sem contraindicações ➔ Controle rigoroso da PA (&lt; 185/110 para trombolisar; &lt; 220/120 se não).</t>
        </is>
      </c>
      <c r="C22" s="38" t="inlineStr">
        <is>
          <t>Salvar área de penumbra isquêmica</t>
        </is>
      </c>
    </row>
    <row r="23" ht="32" customHeight="1">
      <c r="A23" s="47" t="inlineStr">
        <is>
          <t>Hemorragia Subaracnoide (HSA)</t>
        </is>
      </c>
      <c r="B23" s="16" t="inlineStr">
        <is>
          <t>Controle rigoroso da PA Sistólica (&lt; 140-160) ➔ Nimodipino 60mg q4h para prevenção de vasoespasmo ➔ Avaliar necessidade de DVE urgente se hidrocefalia.</t>
        </is>
      </c>
      <c r="C23" s="16" t="inlineStr">
        <is>
          <t>Prevenir ressangramento e vasoespasmo</t>
        </is>
      </c>
    </row>
    <row r="24" ht="32" customHeight="1">
      <c r="A24" s="28" t="inlineStr">
        <is>
          <t>Abdome Agudo na UTI</t>
        </is>
      </c>
      <c r="B24" s="38" t="inlineStr">
        <is>
          <t>Jejum absoluto + SNG aberta para descompressão ➔ Coleta de lactato e culturas ➔ ATB com cobertura anaeróbia (Ex: Piperacilina/Tazo ou Meropenem) ➔ Parecer cirúrgico de urgência.</t>
        </is>
      </c>
      <c r="C24" s="38" t="inlineStr">
        <is>
          <t>Intervenção cirúrgica oportuna se indicada</t>
        </is>
      </c>
    </row>
  </sheetData>
  <mergeCells count="1">
    <mergeCell ref="A1:Z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89" customWidth="1" min="2" max="2"/>
    <col width="122" customWidth="1" min="3" max="3"/>
    <col width="11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 ht="20" customHeight="1">
      <c r="A1" s="1" t="inlineStr">
        <is>
          <t xml:space="preserve">   ALERTAS DE SEGURANÇA E CONTRAINDICAÇÕES CRÍTICAS NA UTI ADULTO   </t>
        </is>
      </c>
    </row>
    <row r="2" ht="20" customHeight="1"/>
    <row r="3"/>
    <row r="4" ht="25" customHeight="1">
      <c r="A4" s="3" t="inlineStr">
        <is>
          <t>Categoria de Risco</t>
        </is>
      </c>
      <c r="B4" s="3" t="inlineStr">
        <is>
          <t>Fármacos Envolvidos / Combinações Perigosas</t>
        </is>
      </c>
      <c r="C4" s="3" t="inlineStr">
        <is>
          <t>Risco Clínico / Fisiopatologia do Alerta</t>
        </is>
      </c>
      <c r="D4" s="3" t="inlineStr">
        <is>
          <t>Conduta Preventiva / Alternativa Segura</t>
        </is>
      </c>
    </row>
    <row r="5" ht="30" customHeight="1">
      <c r="A5" s="27" t="inlineStr">
        <is>
          <t>Nefrotoxicidade Combinada</t>
        </is>
      </c>
      <c r="B5" s="16" t="inlineStr">
        <is>
          <t>Piperacilina-Tazobactam + Vancomicina / Aminoglicosídeos + Anfotericina B</t>
        </is>
      </c>
      <c r="C5" s="16" t="inlineStr">
        <is>
          <t>Aumento exponencial do risco de Lesão Renal Aguda (LRA KDIGO 3) por toxicidade tubular direta.</t>
        </is>
      </c>
      <c r="D5" s="16" t="inlineStr">
        <is>
          <t>Evitar associação prolongada. Monitorizar creatinina diariamente. Substituir por Meropenem se alto risco renal.</t>
        </is>
      </c>
    </row>
    <row r="6" ht="30" customHeight="1">
      <c r="A6" s="27" t="inlineStr">
        <is>
          <t>Prolongamento do Intervalo QT</t>
        </is>
      </c>
      <c r="B6" s="38" t="inlineStr">
        <is>
          <t>Amiodarona + Fluconazol / Clarithromicina + Haloperidol / Ondansetrona</t>
        </is>
      </c>
      <c r="C6" s="38" t="inlineStr">
        <is>
          <t>Risco elevado de indução de arritmia ventricular fatal do tipo Torsades de Pointes.</t>
        </is>
      </c>
      <c r="D6" s="38" t="inlineStr">
        <is>
          <t>Rodar ECG diário. Monitorizar e manter Potássio &gt; 4.5 e Magnésio &gt; 2.0 mEq/L. Calcular QTc corrigido.</t>
        </is>
      </c>
    </row>
    <row r="7" ht="30" customHeight="1">
      <c r="A7" s="27" t="inlineStr">
        <is>
          <t>Síndrome Serotoninérgica</t>
        </is>
      </c>
      <c r="B7" s="16" t="inlineStr">
        <is>
          <t>Linezolida + Inibidores da Recaptação de Serotonina (Fluoxetina, Sertralina, Tramadol)</t>
        </is>
      </c>
      <c r="C7" s="16" t="inlineStr">
        <is>
          <t>Linezolida atua como IMAO fraco, gerando acúmulo de serotonina, hipertermia, mioclonias e instabilidade autonômica.</t>
        </is>
      </c>
      <c r="D7" s="16" t="inlineStr">
        <is>
          <t>Suspender antidepressivos durante o uso de linezolida. Monitorizar sinais vitais e rigidez muscular clonar.</t>
        </is>
      </c>
    </row>
    <row r="8" ht="30" customHeight="1">
      <c r="A8" s="27" t="inlineStr">
        <is>
          <t>Risco de Delirium Grave</t>
        </is>
      </c>
      <c r="B8" s="38" t="inlineStr">
        <is>
          <t>Midazolam / Outros Benzodiazepínicos contínuos / Corticoides em altas doses</t>
        </is>
      </c>
      <c r="C8" s="38" t="inlineStr">
        <is>
          <t>Bloqueio de receptores GABAérgicos centrais associado a maior fragmentação do sono e agitação paradoxal.</t>
        </is>
      </c>
      <c r="D8" s="38" t="inlineStr">
        <is>
          <t>Priorizar sedação leve com Dexmedetomidina ou Propofol. Realizar Despertar Diário obrigatoriamente.</t>
        </is>
      </c>
    </row>
    <row r="9" ht="30" customHeight="1">
      <c r="A9" s="27" t="inlineStr">
        <is>
          <t>Disfunção Hepática Grave</t>
        </is>
      </c>
      <c r="B9" s="16" t="inlineStr">
        <is>
          <t>Paracetamol (altas doses) / Fenitoína / Voriconazol / Amiodarona</t>
        </is>
      </c>
      <c r="C9" s="16" t="inlineStr">
        <is>
          <t>Metabolização hepática saturável ou hepatotoxicidade intrínseca/idiossincrática levando à insuficiência hepática aguda.</t>
        </is>
      </c>
      <c r="D9" s="16" t="inlineStr">
        <is>
          <t>Reduzir doses ou monitorizar transaminases semanalmente. Evitar paracetamol &gt; 2g/dia em hepatopatas.</t>
        </is>
      </c>
    </row>
  </sheetData>
  <mergeCells count="1">
    <mergeCell ref="A1:Z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1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24" customWidth="1" min="3" max="3"/>
    <col width="22" customWidth="1" min="4" max="4"/>
    <col width="23" customWidth="1" min="5" max="5"/>
    <col width="21" customWidth="1" min="6" max="6"/>
    <col width="25" customWidth="1" min="7" max="7"/>
    <col width="26" customWidth="1" min="8" max="8"/>
    <col width="21" customWidth="1" min="9" max="9"/>
    <col width="20" customWidth="1" min="10" max="10"/>
    <col width="17" customWidth="1" min="11" max="11"/>
    <col width="17" customWidth="1" min="12" max="12"/>
    <col width="22" customWidth="1" min="13" max="13"/>
    <col width="18" customWidth="1" min="14" max="14"/>
    <col width="24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 ht="20" customHeight="1">
      <c r="A1" s="1" t="inlineStr">
        <is>
          <t xml:space="preserve">   MODELO ESTRUTURADO DE PASSAGEM DE PLANTÃO (HANDOVER UTI)   </t>
        </is>
      </c>
    </row>
    <row r="2" ht="20" customHeight="1"/>
    <row r="3"/>
    <row r="4" ht="26" customHeight="1">
      <c r="A4" s="3" t="inlineStr">
        <is>
          <t>Leito</t>
        </is>
      </c>
      <c r="B4" s="3" t="inlineStr">
        <is>
          <t>Nome/Iniciais</t>
        </is>
      </c>
      <c r="C4" s="3" t="inlineStr">
        <is>
          <t>Diagnóstico Principal</t>
        </is>
      </c>
      <c r="D4" s="3" t="inlineStr">
        <is>
          <t>Eventos Últimas 24h</t>
        </is>
      </c>
      <c r="E4" s="3" t="inlineStr">
        <is>
          <t>Suporte Ventilatório</t>
        </is>
      </c>
      <c r="F4" s="3" t="inlineStr">
        <is>
          <t>Hemodinâmica / DVA</t>
        </is>
      </c>
      <c r="G4" s="3" t="inlineStr">
        <is>
          <t>Infecção / Duração ATB</t>
        </is>
      </c>
      <c r="H4" s="3" t="inlineStr">
        <is>
          <t>Rim / Diurese / Diálise</t>
        </is>
      </c>
      <c r="I4" s="3" t="inlineStr">
        <is>
          <t>Neurológico / RASS</t>
        </is>
      </c>
      <c r="J4" s="3" t="inlineStr">
        <is>
          <t>Nutrição / Gastro</t>
        </is>
      </c>
      <c r="K4" s="3" t="inlineStr">
        <is>
          <t>Anticoagulação</t>
        </is>
      </c>
      <c r="L4" s="3" t="inlineStr">
        <is>
          <t>Devices Ativos</t>
        </is>
      </c>
      <c r="M4" s="3" t="inlineStr">
        <is>
          <t>Pendências Críticas</t>
        </is>
      </c>
      <c r="N4" s="3" t="inlineStr">
        <is>
          <t>Riscos Noturnos</t>
        </is>
      </c>
      <c r="O4" s="3" t="inlineStr">
        <is>
          <t>Metas Próximas 12-24h</t>
        </is>
      </c>
    </row>
    <row r="5" ht="24" customHeight="1">
      <c r="A5" s="47" t="inlineStr">
        <is>
          <t>Leito 01</t>
        </is>
      </c>
      <c r="B5" s="30" t="n"/>
      <c r="C5" s="30" t="n"/>
      <c r="D5" s="30" t="n"/>
      <c r="E5" s="30" t="n"/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  <c r="O5" s="30" t="n"/>
    </row>
    <row r="6" ht="24" customHeight="1">
      <c r="A6" s="28" t="inlineStr">
        <is>
          <t>Leito 02</t>
        </is>
      </c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</row>
    <row r="7" ht="24" customHeight="1">
      <c r="A7" s="47" t="inlineStr">
        <is>
          <t>Leito 03</t>
        </is>
      </c>
      <c r="B7" s="30" t="n"/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</row>
    <row r="8" ht="24" customHeight="1">
      <c r="A8" s="28" t="inlineStr">
        <is>
          <t>Leito 04</t>
        </is>
      </c>
      <c r="B8" s="32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</row>
    <row r="9" ht="24" customHeight="1">
      <c r="A9" s="47" t="inlineStr">
        <is>
          <t>Leito 05</t>
        </is>
      </c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</row>
    <row r="10" ht="24" customHeight="1">
      <c r="A10" s="28" t="inlineStr">
        <is>
          <t>Leito 06</t>
        </is>
      </c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</row>
    <row r="11" ht="24" customHeight="1">
      <c r="A11" s="47" t="inlineStr">
        <is>
          <t>Leito 07</t>
        </is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</row>
  </sheetData>
  <mergeCells count="1">
    <mergeCell ref="A1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2026-05-19T00:45:24Z</dcterms:created>
  <dcterms:modified xmlns:dcterms="http://purl.org/dc/terms/" xmlns:xsi="http://www.w3.org/2001/XMLSchema-instance" xsi:type="dcterms:W3CDTF">2026-05-19T00:45:25Z</dcterms:modified>
</cp:coreProperties>
</file>