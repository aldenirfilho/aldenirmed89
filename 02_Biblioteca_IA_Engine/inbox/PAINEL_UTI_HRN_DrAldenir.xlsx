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ÍNDICE" sheetId="1" state="visible" r:id="rId3"/>
    <sheet name="📊 DASHBOARD" sheetId="2" state="visible" r:id="rId4"/>
    <sheet name="⚖️  SAPS3 &amp; PRIORIDADE" sheetId="3" state="visible" r:id="rId5"/>
    <sheet name="🔌 DEVICES" sheetId="4" state="visible" r:id="rId6"/>
    <sheet name="💉 DVA &amp; SEDAÇÃO" sheetId="5" state="visible" r:id="rId7"/>
    <sheet name="💊 ATB-AJUSTE RENAL" sheetId="6" state="visible" r:id="rId8"/>
    <sheet name="🩺 MEDS-AJUSTE RENAL" sheetId="7" state="visible" r:id="rId9"/>
    <sheet name="🩸 ANTICOAGULAÇÃO" sheetId="8" state="visible" r:id="rId10"/>
    <sheet name="🫁 VM &amp; GASOMETRIA" sheetId="9" state="visible" r:id="rId11"/>
    <sheet name="🦠 SEPSE &amp; CHOQUE" sheetId="10" state="visible" r:id="rId12"/>
    <sheet name="✅ CHECKLIST DIÁRIO" sheetId="11" state="visible" r:id="rId13"/>
    <sheet name="🧮 CALCULADORAS" sheetId="12" state="visible" r:id="rId14"/>
    <sheet name="📐 FLUXOGRAMAS" sheetId="13" state="visible" r:id="rId15"/>
    <sheet name="⚠️  ALERTAS" sheetId="14" state="visible" r:id="rId16"/>
    <sheet name="🌙 PASSAGEM PLANTÃO" sheetId="15" state="visible" r:id="rId17"/>
    <sheet name="📚 REFERÊNCIA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<sst xmlns="http://schemas.openxmlformats.org/spreadsheetml/2006/main" count="3441" uniqueCount="1666">
  <si>
    <t xml:space="preserve">🏥 PAINEL UTI — MANEJO CLÍNICO, DEVICES, DROGAS, SAPS3 E CALCULADORAS</t>
  </si>
  <si>
    <t xml:space="preserve">Hospital Regional Norte | Santa Casa de Misericórdia | Sobral-CE | Dr. Aldenir Rocha CRM-CE 16587</t>
  </si>
  <si>
    <t xml:space="preserve">⚠️  FERRAMENTA DE APOIO À DECISÃO CLÍNICA — NÃO SUBSTITUI JULGAMENTO MÉDICO NEM PROTOCOLOS INSTITUCIONAIS</t>
  </si>
  <si>
    <t xml:space="preserve">#</t>
  </si>
  <si>
    <t xml:space="preserve">ABA</t>
  </si>
  <si>
    <t xml:space="preserve">DESCRIÇÃO</t>
  </si>
  <si>
    <t xml:space="preserve">USO PRINCIPAL</t>
  </si>
  <si>
    <t xml:space="preserve">ATALHO</t>
  </si>
  <si>
    <t xml:space="preserve">STATUS</t>
  </si>
  <si>
    <t xml:space="preserve">1</t>
  </si>
  <si>
    <t xml:space="preserve">📊 DASHBOARD</t>
  </si>
  <si>
    <t xml:space="preserve">Visão geral dos pacientes internados</t>
  </si>
  <si>
    <t xml:space="preserve">Início de plantão / passagem</t>
  </si>
  <si>
    <t xml:space="preserve">Ctrl+PgDn</t>
  </si>
  <si>
    <t xml:space="preserve">✅ ATIVO</t>
  </si>
  <si>
    <t xml:space="preserve">2</t>
  </si>
  <si>
    <t xml:space="preserve">⚖️  SAPS3 &amp; PRIORIDADE</t>
  </si>
  <si>
    <t xml:space="preserve">Cálculo SAPS3 e prioridade de admissão</t>
  </si>
  <si>
    <t xml:space="preserve">Admissão / triagem</t>
  </si>
  <si>
    <t xml:space="preserve">3</t>
  </si>
  <si>
    <t xml:space="preserve">🔌 DEVICES</t>
  </si>
  <si>
    <t xml:space="preserve">Dispositivos invasivos e prazos de troca</t>
  </si>
  <si>
    <t xml:space="preserve">Revisão diária de devices</t>
  </si>
  <si>
    <t xml:space="preserve">4</t>
  </si>
  <si>
    <t xml:space="preserve">💉 DVA &amp; SEDAÇÃO</t>
  </si>
  <si>
    <t xml:space="preserve">Drogas vasoativas, sedação, analgesia</t>
  </si>
  <si>
    <t xml:space="preserve">Prescrição / titulação</t>
  </si>
  <si>
    <t xml:space="preserve">5</t>
  </si>
  <si>
    <t xml:space="preserve">💊 ATB-AJUSTE RENAL</t>
  </si>
  <si>
    <t xml:space="preserve">Antibióticos com ajuste por função renal</t>
  </si>
  <si>
    <t xml:space="preserve">Prescrição segura</t>
  </si>
  <si>
    <t xml:space="preserve">6</t>
  </si>
  <si>
    <t xml:space="preserve">🩺 MEDS-AJUSTE RENAL</t>
  </si>
  <si>
    <t xml:space="preserve">Medicações não-ATB com ajuste renal</t>
  </si>
  <si>
    <t xml:space="preserve">Revisão de prescrições</t>
  </si>
  <si>
    <t xml:space="preserve">7</t>
  </si>
  <si>
    <t xml:space="preserve">🩸 ANTICOAGULAÇÃO</t>
  </si>
  <si>
    <t xml:space="preserve">Profilaxia, anticoagulação plena e reversão</t>
  </si>
  <si>
    <t xml:space="preserve">TEV / anticoagulação</t>
  </si>
  <si>
    <t xml:space="preserve">8</t>
  </si>
  <si>
    <t xml:space="preserve">🫁 VM &amp; GASOMETRIA</t>
  </si>
  <si>
    <t xml:space="preserve">Ventilação mecânica e distúrbios ácido-base</t>
  </si>
  <si>
    <t xml:space="preserve">Manejo ventilatório</t>
  </si>
  <si>
    <t xml:space="preserve">9</t>
  </si>
  <si>
    <t xml:space="preserve">🦠 SEPSE &amp; CHOQUE</t>
  </si>
  <si>
    <t xml:space="preserve">Bundle sepse, tipos de choque, DVA</t>
  </si>
  <si>
    <t xml:space="preserve">Choque / sepse</t>
  </si>
  <si>
    <t xml:space="preserve">10</t>
  </si>
  <si>
    <t xml:space="preserve">✅ CHECKLIST DIÁRIO</t>
  </si>
  <si>
    <t xml:space="preserve">Checklist UTI diário com completude</t>
  </si>
  <si>
    <t xml:space="preserve">Rounds diários</t>
  </si>
  <si>
    <t xml:space="preserve">11</t>
  </si>
  <si>
    <t xml:space="preserve">🧮 CALCULADORAS</t>
  </si>
  <si>
    <t xml:space="preserve">IMC, CrCl, SOFA, qSOFA, Wells, CHA2DS2</t>
  </si>
  <si>
    <t xml:space="preserve">Cálculos rápidos</t>
  </si>
  <si>
    <t xml:space="preserve">12</t>
  </si>
  <si>
    <t xml:space="preserve">📐 FLUXOGRAMAS</t>
  </si>
  <si>
    <t xml:space="preserve">Algoritmos de manejo em texto/tabela</t>
  </si>
  <si>
    <t xml:space="preserve">Consulta rápida</t>
  </si>
  <si>
    <t xml:space="preserve">13</t>
  </si>
  <si>
    <t xml:space="preserve">⚠️  ALERTAS</t>
  </si>
  <si>
    <t xml:space="preserve">Contraindicações, QT, nefrotóxicos, interações</t>
  </si>
  <si>
    <t xml:space="preserve">Segurança</t>
  </si>
  <si>
    <t xml:space="preserve">14</t>
  </si>
  <si>
    <t xml:space="preserve">🌙 PASSAGEM PLANTÃO</t>
  </si>
  <si>
    <t xml:space="preserve">Modelo estruturado de passagem de plantão</t>
  </si>
  <si>
    <t xml:space="preserve">Troca de equipe</t>
  </si>
  <si>
    <t xml:space="preserve">15</t>
  </si>
  <si>
    <t xml:space="preserve">📚 REFERÊNCIAS</t>
  </si>
  <si>
    <t xml:space="preserve">Guidelines, avisos, fontes</t>
  </si>
  <si>
    <t xml:space="preserve">Referência</t>
  </si>
  <si>
    <t xml:space="preserve">📊 DASHBOARD UTI — VISÃO GERAL DOS PACIENTES</t>
  </si>
  <si>
    <t xml:space="preserve">🟢 ADEQUADO</t>
  </si>
  <si>
    <t xml:space="preserve">🟡 ATENÇÃO</t>
  </si>
  <si>
    <t xml:space="preserve">🔴 CRÍTICO</t>
  </si>
  <si>
    <t xml:space="preserve">🔄 Atualizar ao início do plantão | Data: 19/05/2026</t>
  </si>
  <si>
    <t xml:space="preserve">LEITO</t>
  </si>
  <si>
    <t xml:space="preserve">PACIENTE
(Iniciais)</t>
  </si>
  <si>
    <t xml:space="preserve">IDADE</t>
  </si>
  <si>
    <t xml:space="preserve">DATA
ADM HOSP</t>
  </si>
  <si>
    <t xml:space="preserve">DATA
ADM UTI</t>
  </si>
  <si>
    <t xml:space="preserve">DIAS
UTI</t>
  </si>
  <si>
    <t xml:space="preserve">DIAGNÓSTICO PRINCIPAL</t>
  </si>
  <si>
    <t xml:space="preserve">PROBLEMAS
ATIVOS</t>
  </si>
  <si>
    <t xml:space="preserve">SAPS3</t>
  </si>
  <si>
    <t xml:space="preserve">MORTAL.
ESTIMADA %</t>
  </si>
  <si>
    <t xml:space="preserve">PRIORIDADE</t>
  </si>
  <si>
    <t xml:space="preserve">VENTILAÇÃO</t>
  </si>
  <si>
    <t xml:space="preserve">DVA</t>
  </si>
  <si>
    <t xml:space="preserve">NORA
mcg/kg/min</t>
  </si>
  <si>
    <t xml:space="preserve">SEDAÇÃO</t>
  </si>
  <si>
    <t xml:space="preserve">RASS
ALVO</t>
  </si>
  <si>
    <t xml:space="preserve">CAM-ICU</t>
  </si>
  <si>
    <t xml:space="preserve">ATB ATUAL</t>
  </si>
  <si>
    <t xml:space="preserve">DIAS
ATB</t>
  </si>
  <si>
    <t xml:space="preserve">CULTURAS
PENDENTES</t>
  </si>
  <si>
    <t xml:space="preserve">FUNÇÃO
RENAL</t>
  </si>
  <si>
    <t xml:space="preserve">ANTICOA-
GULAÇÃO</t>
  </si>
  <si>
    <t xml:space="preserve">DEVICES</t>
  </si>
  <si>
    <t xml:space="preserve">PENDÊNCIAS
DO DIA</t>
  </si>
  <si>
    <t xml:space="preserve">META 24h</t>
  </si>
  <si>
    <t xml:space="preserve">CRITÉRIOS
ALTA UTI</t>
  </si>
  <si>
    <t xml:space="preserve">RISCO
GLOBAL</t>
  </si>
  <si>
    <t xml:space="preserve">L01</t>
  </si>
  <si>
    <t xml:space="preserve">L02</t>
  </si>
  <si>
    <t xml:space="preserve">L03</t>
  </si>
  <si>
    <t xml:space="preserve">L04</t>
  </si>
  <si>
    <t xml:space="preserve">L05</t>
  </si>
  <si>
    <t xml:space="preserve">L06</t>
  </si>
  <si>
    <t xml:space="preserve">L07</t>
  </si>
  <si>
    <t xml:space="preserve">L08</t>
  </si>
  <si>
    <t xml:space="preserve">L09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</si>
  <si>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</si>
  <si>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</si>
  <si>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</si>
  <si>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</si>
  <si>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</si>
  <si>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</si>
  <si>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</si>
  <si>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</si>
  <si>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</si>
  <si>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</si>
  <si>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</si>
  <si>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⚖️  SAPS3 — SIMPLIFIED ACUTE PHYSIOLOGY SCORE III | PRIORIDADE DE UTI</t>
  </si>
  <si>
    <t xml:space="preserve">📊 COMPONENTES DO ESCORE SAPS3 (referência — pontuar individualmente conforme protocolo AMIB)</t>
  </si>
  <si>
    <t xml:space="preserve">▶  BLOCO I — CONTEXTO PRÉ-ADMISSÃO</t>
  </si>
  <si>
    <t xml:space="preserve">Variável</t>
  </si>
  <si>
    <t xml:space="preserve">Pontuação</t>
  </si>
  <si>
    <t xml:space="preserve">Observação</t>
  </si>
  <si>
    <t xml:space="preserve">Idade (anos)</t>
  </si>
  <si>
    <t xml:space="preserve">≤39: 0 | 40-59: 5 | 60-69: 9 | 70-74: 13 | 75-79: 15 | ≥80: 18</t>
  </si>
  <si>
    <t xml:space="preserve">Inserir idade</t>
  </si>
  <si>
    <t xml:space="preserve">Tempo internação antes da UTI</t>
  </si>
  <si>
    <t xml:space="preserve">≤14d: 0 | 15-28d: 2 | ≥29d ou emergência: 5</t>
  </si>
  <si>
    <t xml:space="preserve">Origem do paciente</t>
  </si>
  <si>
    <t xml:space="preserve">Enfermaria: 5 | Outro hospital: 5 | Emergência/pronto-socorro: 6</t>
  </si>
  <si>
    <t xml:space="preserve">Uso de antibióticos 24h antes</t>
  </si>
  <si>
    <t xml:space="preserve">Não: 0 | Sim: 3</t>
  </si>
  <si>
    <t xml:space="preserve">▶  BLOCO II — COMORBIDADES</t>
  </si>
  <si>
    <t xml:space="preserve">Câncer atualmente ativo</t>
  </si>
  <si>
    <t xml:space="preserve">Não: 0 | Localizado: 4 | Metastático: 11</t>
  </si>
  <si>
    <t xml:space="preserve">Insuficiência hepática crônica</t>
  </si>
  <si>
    <t xml:space="preserve">Não: 0 | Sim: 4</t>
  </si>
  <si>
    <t xml:space="preserve">ICC classe IV NYHA</t>
  </si>
  <si>
    <t xml:space="preserve">Não: 0 | Sim: 5</t>
  </si>
  <si>
    <t xml:space="preserve">Doença respiratória crônica</t>
  </si>
  <si>
    <t xml:space="preserve">Insuficiência renal crônica</t>
  </si>
  <si>
    <t xml:space="preserve">Não: 0 | IRC/HD: 4</t>
  </si>
  <si>
    <t xml:space="preserve">HIV / AIDS</t>
  </si>
  <si>
    <t xml:space="preserve">Não: 0 | AIDS com infecção oportunista: 8</t>
  </si>
  <si>
    <t xml:space="preserve">Cirrose</t>
  </si>
  <si>
    <t xml:space="preserve">▶  BLOCO III — ADMISSÃO</t>
  </si>
  <si>
    <t xml:space="preserve">Motivo admissão (diagnóstico)</t>
  </si>
  <si>
    <t xml:space="preserve">Cardíaco: 0–9 | Neurológico: 0–7 | Gastrointestinal: 0–10 | Outros: 0–4</t>
  </si>
  <si>
    <t xml:space="preserve">Ver tabela detalhada SAPS3</t>
  </si>
  <si>
    <t xml:space="preserve">Status cirúrgico</t>
  </si>
  <si>
    <t xml:space="preserve">Não cirúrgico: 0 | Cirurgia eletiva: 0 | Urgência/emergência: 7</t>
  </si>
  <si>
    <t xml:space="preserve">▶  BLOCO IV — VARIÁVEIS FISIOLÓGICAS (PIOR valor em 1h antes/após admissão UTI)</t>
  </si>
  <si>
    <t xml:space="preserve">Valor inserido</t>
  </si>
  <si>
    <t xml:space="preserve">FC (bpm)</t>
  </si>
  <si>
    <t xml:space="preserve">&lt;40: 11 | 40-59: 5 | 60-119: 0 | 120-159: 4 | ≥160: 7</t>
  </si>
  <si>
    <t xml:space="preserve">PAS (mmHg)</t>
  </si>
  <si>
    <t xml:space="preserve">&lt;40: 13 | 40-69: 5 | 70-119: 0 | 120-159: 0 | ≥160: 2</t>
  </si>
  <si>
    <t xml:space="preserve">Temperatura (°C)</t>
  </si>
  <si>
    <t xml:space="preserve">&lt;33: 7 | 33-35.9: 4 | ≥36: 0</t>
  </si>
  <si>
    <t xml:space="preserve">PaO2/FiO2 (se VM)</t>
  </si>
  <si>
    <t xml:space="preserve">&lt;100: 11 | 100-199: 9 | 200-299: 5 | ≥300: 0</t>
  </si>
  <si>
    <t xml:space="preserve">pH arterial</t>
  </si>
  <si>
    <t xml:space="preserve">&lt;7.0: 7 | 7.0-7.24: 5 | 7.25-7.32: 3 | ≥7.33: 0</t>
  </si>
  <si>
    <t xml:space="preserve">Creatinina (mg/dL)</t>
  </si>
  <si>
    <t xml:space="preserve">&lt;0.9: 0 | 0.9-1.7: 0 | 1.8-4.9: 4 | ≥5: 7</t>
  </si>
  <si>
    <t xml:space="preserve">Leucócitos (x10³)</t>
  </si>
  <si>
    <t xml:space="preserve">&lt;1: 12 | 1-19.9: 0 | ≥20: 1</t>
  </si>
  <si>
    <t xml:space="preserve">Plaquetas (x10³)</t>
  </si>
  <si>
    <t xml:space="preserve">&lt;20: 13 | 20-49: 8 | 50-99: 5 | 100-149: 3 | ≥150: 0</t>
  </si>
  <si>
    <t xml:space="preserve">Bilirrubina (mg/dL)</t>
  </si>
  <si>
    <t xml:space="preserve">&lt;2: 0 | 2-5.9: 4 | ≥6: 5</t>
  </si>
  <si>
    <t xml:space="preserve">Glasgow Coma Scale</t>
  </si>
  <si>
    <t xml:space="preserve">3: 15 | 4: 13 | 5: 11 | 6: 9 | 7-9: 8 | 10-12: 5 | 13-14: 3 | 15: 0</t>
  </si>
  <si>
    <t xml:space="preserve">Ureia (mmol/L)</t>
  </si>
  <si>
    <t xml:space="preserve">&lt;10: 0 | 10-19.9: 3 | 20-29.9: 5 | ≥30: 8</t>
  </si>
  <si>
    <t xml:space="preserve">Converter: ureia mg/dL ÷ 2.8</t>
  </si>
  <si>
    <t xml:space="preserve">🧮 CALCULADORA SAPS3 — INSERIR PONTUAÇÃO TOTAL E CALCULAR MORTALIDADE</t>
  </si>
  <si>
    <t xml:space="preserve">SAPS3 TOTAL (soma dos pontos):</t>
  </si>
  <si>
    <t xml:space="preserve">Mortalidade estimada GLOBAL (%):</t>
  </si>
  <si>
    <t xml:space="preserve">Mortalidade América do Sul (%):</t>
  </si>
  <si>
    <t xml:space="preserve">Classificação:</t>
  </si>
  <si>
    <t xml:space="preserve">🚦 TABELA DE PRIORIDADE DE ADMISSÃO EM UTI</t>
  </si>
  <si>
    <t xml:space="preserve">DEFINIÇÃO</t>
  </si>
  <si>
    <t xml:space="preserve">EXEMPLOS CLÍNICOS</t>
  </si>
  <si>
    <t xml:space="preserve">CONDUTA</t>
  </si>
  <si>
    <t xml:space="preserve">REAVALIAÇÃO</t>
  </si>
  <si>
    <t xml:space="preserve">JUSTIFICATIVA</t>
  </si>
  <si>
    <t xml:space="preserve">P1 🔴 CRÍTICO</t>
  </si>
  <si>
    <t xml:space="preserve">Criticamente enfermo, instável, suporte intensivo pleno necessário</t>
  </si>
  <si>
    <t xml:space="preserve">VM, DVA, choque, sepse grave, pós-op crítico, IRespA grave</t>
  </si>
  <si>
    <t xml:space="preserve">Admitir IMEDIATAMENTE</t>
  </si>
  <si>
    <t xml:space="preserve">1-2h ou contínua</t>
  </si>
  <si>
    <t xml:space="preserve">P2 🟠 ALTO RISCO</t>
  </si>
  <si>
    <t xml:space="preserve">Monitorização intensiva, risco de deterioração iminente</t>
  </si>
  <si>
    <t xml:space="preserve">Pós-IAM estável, arrit. complexa, pneumonia grave sem VM ainda</t>
  </si>
  <si>
    <t xml:space="preserve">Admitir em &lt; 1h</t>
  </si>
  <si>
    <t xml:space="preserve">4-6h</t>
  </si>
  <si>
    <t xml:space="preserve">P3 🟡 LIMITADO</t>
  </si>
  <si>
    <t xml:space="preserve">Doença crítica com limitação terapêutica parcial ou baixa recuperação</t>
  </si>
  <si>
    <t xml:space="preserve">Neoplasia avançada, doença terminal, LET parcial</t>
  </si>
  <si>
    <t xml:space="preserve">Avaliar suporte proporcional</t>
  </si>
  <si>
    <t xml:space="preserve">12-24h</t>
  </si>
  <si>
    <t xml:space="preserve">P4 🟢 BAIXA</t>
  </si>
  <si>
    <t xml:space="preserve">Muito estável ou prognóstico reservado sem benefício de UTI</t>
  </si>
  <si>
    <t xml:space="preserve">Pós-op estável, paciente fora de possibilidade terapêutica</t>
  </si>
  <si>
    <t xml:space="preserve">Considerar cuidados paliativos ou monitorização</t>
  </si>
  <si>
    <t xml:space="preserve">24h</t>
  </si>
  <si>
    <t xml:space="preserve">🔌 DISPOSITIVOS INVASIVOS — CONTROLE, PRAZOS E INDICAÇÃO</t>
  </si>
  <si>
    <t xml:space="preserve">PACIENTE</t>
  </si>
  <si>
    <t xml:space="preserve">DISPOSITIVO</t>
  </si>
  <si>
    <t xml:space="preserve">LOCAL/SÍTIO</t>
  </si>
  <si>
    <t xml:space="preserve">DATA
INSERÇÃO</t>
  </si>
  <si>
    <t xml:space="preserve">DIA ATUAL
DEVICE</t>
  </si>
  <si>
    <t xml:space="preserve">PRAZO
SUGERIDO (d)</t>
  </si>
  <si>
    <t xml:space="preserve">DATA PREV.
TROCA</t>
  </si>
  <si>
    <t xml:space="preserve">INDICAÇÃO
ATUAL?</t>
  </si>
  <si>
    <t xml:space="preserve">SINAIS
INFECÇÃO?</t>
  </si>
  <si>
    <t xml:space="preserve">RETIRAR
HOJE?</t>
  </si>
  <si>
    <t xml:space="preserve">CONDUTA
ROTINA</t>
  </si>
  <si>
    <t xml:space="preserve">OBSERVAÇÕES</t>
  </si>
  <si>
    <t xml:space="preserve">CVC</t>
  </si>
  <si>
    <t xml:space="preserve">Jugular/Subclávia/Femoral</t>
  </si>
  <si>
    <t xml:space="preserve">Trocar se suspeita ou 14 dias sem sítio alternativo</t>
  </si>
  <si>
    <t xml:space="preserve">PAM - Linha Arterial</t>
  </si>
  <si>
    <t xml:space="preserve">Radial/Femoral/Ulnar</t>
  </si>
  <si>
    <t xml:space="preserve">Trocar ou reposicionar com inflamação local</t>
  </si>
  <si>
    <t xml:space="preserve">Sonda Vesical de Demora</t>
  </si>
  <si>
    <t xml:space="preserve">Uretra</t>
  </si>
  <si>
    <t xml:space="preserve">Retirar assim que possível — meta: menor tempo possível</t>
  </si>
  <si>
    <t xml:space="preserve">Sonda Nasoenteral</t>
  </si>
  <si>
    <t xml:space="preserve">Naso/Orogástrica</t>
  </si>
  <si>
    <t xml:space="preserve">Confirmar posição antes de cada dieta</t>
  </si>
  <si>
    <t xml:space="preserve">Sonda Nasogástrica</t>
  </si>
  <si>
    <t xml:space="preserve">Retirar assim que possível</t>
  </si>
  <si>
    <t xml:space="preserve">Tubo Orotraqueal (TOT)</t>
  </si>
  <si>
    <t xml:space="preserve">Oral/Nasal</t>
  </si>
  <si>
    <t xml:space="preserve">Reavaliar extubação diariamente</t>
  </si>
  <si>
    <t xml:space="preserve">Traqueostomia</t>
  </si>
  <si>
    <t xml:space="preserve">Percutânea/Cirúrgica</t>
  </si>
  <si>
    <t xml:space="preserve">Trocar primeira cânula em 7-10d após TQT</t>
  </si>
  <si>
    <t xml:space="preserve">Dreno Torácico</t>
  </si>
  <si>
    <t xml:space="preserve">Pleural D/E</t>
  </si>
  <si>
    <t xml:space="preserve">Retirar ao cessar drenagem e expansão adequada</t>
  </si>
  <si>
    <t xml:space="preserve">Dreno Abdominal</t>
  </si>
  <si>
    <t xml:space="preserve">Cavidade abdominal</t>
  </si>
  <si>
    <t xml:space="preserve">Avaliar necessidade diariamente</t>
  </si>
  <si>
    <t xml:space="preserve">Cateter de HD (Provisório)</t>
  </si>
  <si>
    <t xml:space="preserve">Jugular/Femoral/Subclávia</t>
  </si>
  <si>
    <t xml:space="preserve">Priorizar fístula; trocar se suspeita CRBSI</t>
  </si>
  <si>
    <t xml:space="preserve">PICC</t>
  </si>
  <si>
    <t xml:space="preserve">Braquial/Cefálica/Basílica</t>
  </si>
  <si>
    <t xml:space="preserve">Manter se sem complicações</t>
  </si>
  <si>
    <t xml:space="preserve">AVP (acesso venoso periférico)</t>
  </si>
  <si>
    <t xml:space="preserve">MMSS/MMII</t>
  </si>
  <si>
    <t xml:space="preserve">Trocar a cada 72-96h ou se sinais de flebite</t>
  </si>
  <si>
    <t xml:space="preserve">Curativo cirúrgico</t>
  </si>
  <si>
    <t xml:space="preserve">Ferida op.</t>
  </si>
  <si>
    <t xml:space="preserve">Trocar a cada 48h ou se sujo/saturado</t>
  </si>
  <si>
    <t xml:space="preserve">Cateter Epidural</t>
  </si>
  <si>
    <t xml:space="preserve">Epidural</t>
  </si>
  <si>
    <t xml:space="preserve">Risco de infecção após 7d</t>
  </si>
  <si>
    <t xml:space="preserve">Derivação Ventricular Externa (DVE)</t>
  </si>
  <si>
    <t xml:space="preserve">Intraventricular</t>
  </si>
  <si>
    <t xml:space="preserve">Monitorar PIC, trocar se infecção</t>
  </si>
  <si>
    <t xml:space="preserve">Balão Intra-Aórtico (BIA)</t>
  </si>
  <si>
    <t xml:space="preserve">Aorta/Femoral</t>
  </si>
  <si>
    <t xml:space="preserve">Cateter Peritoneal (CAPD)</t>
  </si>
  <si>
    <t xml:space="preserve">Peritônio</t>
  </si>
  <si>
    <t xml:space="preserve">Monitorar turvação do dialisato</t>
  </si>
  <si>
    <t xml:space="preserve">ECMO (cânulas)</t>
  </si>
  <si>
    <t xml:space="preserve">Femoral/Jugular/Aorta</t>
  </si>
  <si>
    <t xml:space="preserve">Avaliar troca de circuito/cânula conforme protocolo</t>
  </si>
  <si>
    <t xml:space="preserve">💉 DROGAS VASOATIVAS, SEDAÇÃO, ANALGESIA E BLOQUEIO NEUROMUSCULAR</t>
  </si>
  <si>
    <t xml:space="preserve">🩸 DROGAS VASOATIVAS (DVA)</t>
  </si>
  <si>
    <t xml:space="preserve">DROGA</t>
  </si>
  <si>
    <t xml:space="preserve">INDICAÇÃO PRINCIPAL</t>
  </si>
  <si>
    <t xml:space="preserve">DOSE INICIAL</t>
  </si>
  <si>
    <t xml:space="preserve">FAIXA USUAL</t>
  </si>
  <si>
    <t xml:space="preserve">DOSE MÁX</t>
  </si>
  <si>
    <t xml:space="preserve">DILUIÇÃO COMUM</t>
  </si>
  <si>
    <t xml:space="preserve">VIA</t>
  </si>
  <si>
    <t xml:space="preserve">CUIDADOS / EA</t>
  </si>
  <si>
    <t xml:space="preserve">EVITAR EM</t>
  </si>
  <si>
    <t xml:space="preserve">Noradrenalina</t>
  </si>
  <si>
    <t xml:space="preserve">Choque vasoplégico 1ª linha</t>
  </si>
  <si>
    <t xml:space="preserve">0.01–0.1 mcg/kg/min</t>
  </si>
  <si>
    <t xml:space="preserve">0.01–1 mcg/kg/min</t>
  </si>
  <si>
    <t xml:space="preserve">3 mcg/kg/min</t>
  </si>
  <si>
    <t xml:space="preserve">4mg em 250mL SF = 16mcg/mL</t>
  </si>
  <si>
    <t xml:space="preserve">AVC central</t>
  </si>
  <si>
    <t xml:space="preserve">Necrosis digit, hipertensão, arritmia</t>
  </si>
  <si>
    <t xml:space="preserve">IAM sem choque, bradicardia severa</t>
  </si>
  <si>
    <t xml:space="preserve">Adrenalina</t>
  </si>
  <si>
    <t xml:space="preserve">Anafilaxia, PCR, choque refratário</t>
  </si>
  <si>
    <t xml:space="preserve">2 mcg/kg/min</t>
  </si>
  <si>
    <t xml:space="preserve">1mg em 250mL = 4mcg/mL</t>
  </si>
  <si>
    <t xml:space="preserve">Taquiarritmia, hiperglicemia, isquemia</t>
  </si>
  <si>
    <t xml:space="preserve">IAM ativo sem choque</t>
  </si>
  <si>
    <t xml:space="preserve">Dobutamina</t>
  </si>
  <si>
    <t xml:space="preserve">Choque cardiogênico, baixo DC</t>
  </si>
  <si>
    <t xml:space="preserve">2.5 mcg/kg/min</t>
  </si>
  <si>
    <t xml:space="preserve">2.5–20 mcg/kg/min</t>
  </si>
  <si>
    <t xml:space="preserve">20 mcg/kg/min</t>
  </si>
  <si>
    <t xml:space="preserve">250mg em 250mL SG5% = 1mg/mL</t>
  </si>
  <si>
    <t xml:space="preserve">AVC central pref.</t>
  </si>
  <si>
    <t xml:space="preserve">Taquicardia, hipotensão, arritmia</t>
  </si>
  <si>
    <t xml:space="preserve">Estenose subaórtica, taquicardia não controlada</t>
  </si>
  <si>
    <t xml:space="preserve">Vasopressina</t>
  </si>
  <si>
    <t xml:space="preserve">Choque séptico refratário (adjuvante)</t>
  </si>
  <si>
    <t xml:space="preserve">0.03 U/min fixo</t>
  </si>
  <si>
    <t xml:space="preserve">0.01–0.04 U/min</t>
  </si>
  <si>
    <t xml:space="preserve">0.04 U/min</t>
  </si>
  <si>
    <t xml:space="preserve">20U em 250mL = 0.08U/mL</t>
  </si>
  <si>
    <t xml:space="preserve">Isquemia coronária/esplâncnica, hiponatremia</t>
  </si>
  <si>
    <t xml:space="preserve">Doença arterial coronária grave</t>
  </si>
  <si>
    <t xml:space="preserve">Milrinona</t>
  </si>
  <si>
    <t xml:space="preserve">Choque cardiogênico, hipert. pulmonar</t>
  </si>
  <si>
    <t xml:space="preserve">0.375 mcg/kg/min</t>
  </si>
  <si>
    <t xml:space="preserve">0.375–0.75 mcg/kg/min</t>
  </si>
  <si>
    <t xml:space="preserve">0.75 mcg/kg/min</t>
  </si>
  <si>
    <t xml:space="preserve">10mg em 100mL SG5%</t>
  </si>
  <si>
    <t xml:space="preserve">Hipotensão, taquiarritmia</t>
  </si>
  <si>
    <t xml:space="preserve">Hipotensão grave, IRC grave (ajustar)</t>
  </si>
  <si>
    <t xml:space="preserve">Dopamina</t>
  </si>
  <si>
    <t xml:space="preserve">Alternativa ao choque; cronotropismo</t>
  </si>
  <si>
    <t xml:space="preserve">2–5 mcg/kg/min</t>
  </si>
  <si>
    <t xml:space="preserve">5–20 mcg/kg/min</t>
  </si>
  <si>
    <t xml:space="preserve">200mg em 250mL = 800mcg/mL</t>
  </si>
  <si>
    <t xml:space="preserve">Arritmia ++, taquicardia, isquemia</t>
  </si>
  <si>
    <t xml:space="preserve">Prefira noradrenalina para choque séptico</t>
  </si>
  <si>
    <t xml:space="preserve">Nitroprussiato</t>
  </si>
  <si>
    <t xml:space="preserve">Emergência hipertensiva, pós-op CV</t>
  </si>
  <si>
    <t xml:space="preserve">0.25 mcg/kg/min</t>
  </si>
  <si>
    <t xml:space="preserve">0.5–8 mcg/kg/min</t>
  </si>
  <si>
    <t xml:space="preserve">10 mcg/kg/min</t>
  </si>
  <si>
    <t xml:space="preserve">50mg em 250mL SG5%</t>
  </si>
  <si>
    <t xml:space="preserve">AVC central — protegido da luz</t>
  </si>
  <si>
    <t xml:space="preserve">Toxicidade por cianeto (&gt;48h), metahemoglobinemia</t>
  </si>
  <si>
    <t xml:space="preserve">IRC grave, hepatopatia, uso &gt;48h em altas doses</t>
  </si>
  <si>
    <t xml:space="preserve">Nitroglicerina</t>
  </si>
  <si>
    <t xml:space="preserve">Angina/IAM, EPA hipertensivo</t>
  </si>
  <si>
    <t xml:space="preserve">5–10 mcg/min</t>
  </si>
  <si>
    <t xml:space="preserve">5–200 mcg/min</t>
  </si>
  <si>
    <t xml:space="preserve">400 mcg/min</t>
  </si>
  <si>
    <t xml:space="preserve">25mg em 250mL SG5%</t>
  </si>
  <si>
    <t xml:space="preserve">Cefaleia, hipotensão, taquicardia reflexa</t>
  </si>
  <si>
    <t xml:space="preserve">Uso com inibidores de PDE-5, hipotensão</t>
  </si>
  <si>
    <t xml:space="preserve">Esmolol</t>
  </si>
  <si>
    <t xml:space="preserve">Taquiarritmia, dissecção aorta</t>
  </si>
  <si>
    <t xml:space="preserve">Bolus 0.5 mg/kg → inf</t>
  </si>
  <si>
    <t xml:space="preserve">50–200 mcg/kg/min</t>
  </si>
  <si>
    <t xml:space="preserve">300 mcg/kg/min</t>
  </si>
  <si>
    <t xml:space="preserve">2500mg em 250mL = 10mg/mL</t>
  </si>
  <si>
    <t xml:space="preserve">Bradicardia, hipotensão, broncoespasmo</t>
  </si>
  <si>
    <t xml:space="preserve">Asma, DPOC grave, ICC descompensada</t>
  </si>
  <si>
    <t xml:space="preserve">Azul de Metileno</t>
  </si>
  <si>
    <t xml:space="preserve">Choque vasoplégico refratário (NOS inhibitor)</t>
  </si>
  <si>
    <t xml:space="preserve">1-2 mg/kg bolus EV</t>
  </si>
  <si>
    <t xml:space="preserve">0.25–2 mg/kg/h</t>
  </si>
  <si>
    <t xml:space="preserve">Único uso ou 24h máx</t>
  </si>
  <si>
    <t xml:space="preserve">50mg em 100mL SF</t>
  </si>
  <si>
    <t xml:space="preserve">Metahemoglobinemia, interação ISRS/IMAO</t>
  </si>
  <si>
    <t xml:space="preserve">Defic. G6PD, uso de ISRS/IMAO</t>
  </si>
  <si>
    <t xml:space="preserve">Amiodarona</t>
  </si>
  <si>
    <t xml:space="preserve">TV/FV, FA rápida, arritmia refratária</t>
  </si>
  <si>
    <t xml:space="preserve">Bolus 150mg em 10min</t>
  </si>
  <si>
    <t xml:space="preserve">Inf 1mg/min por 6h → 0.5mg/min</t>
  </si>
  <si>
    <t xml:space="preserve">2.2g/24h</t>
  </si>
  <si>
    <t xml:space="preserve">150mg em 100mL SG5%</t>
  </si>
  <si>
    <t xml:space="preserve">Hipotensão, bradicardia, fototox, pulmão, tireoide</t>
  </si>
  <si>
    <t xml:space="preserve">Bloqueio AV grave, disfunção tireoidiana</t>
  </si>
  <si>
    <t xml:space="preserve">Metoprolol</t>
  </si>
  <si>
    <t xml:space="preserve">FA com alta resposta, HA em PCR</t>
  </si>
  <si>
    <t xml:space="preserve">Bolus 5mg EV lento</t>
  </si>
  <si>
    <t xml:space="preserve">Repetir até 3x q5min</t>
  </si>
  <si>
    <t xml:space="preserve">15mg agudo</t>
  </si>
  <si>
    <t xml:space="preserve">Direto ou em SF</t>
  </si>
  <si>
    <t xml:space="preserve">EV lento</t>
  </si>
  <si>
    <t xml:space="preserve">Asma, DPOC grave, choque, bloqueio AV</t>
  </si>
  <si>
    <t xml:space="preserve">Atropina</t>
  </si>
  <si>
    <t xml:space="preserve">Bradicardia sintomática aguda</t>
  </si>
  <si>
    <t xml:space="preserve">0.5 mg bolus EV</t>
  </si>
  <si>
    <t xml:space="preserve">Repetir q3-5min</t>
  </si>
  <si>
    <t xml:space="preserve">3 mg total</t>
  </si>
  <si>
    <t xml:space="preserve">EV bolus</t>
  </si>
  <si>
    <t xml:space="preserve">Taquicardia, retenção urinária, íleo</t>
  </si>
  <si>
    <t xml:space="preserve">Glaucoma ângulo fechado, taquiarritmia</t>
  </si>
  <si>
    <t xml:space="preserve">😴 SEDAÇÃO / ANALGESIA / BNM</t>
  </si>
  <si>
    <t xml:space="preserve">Fentanil</t>
  </si>
  <si>
    <t xml:space="preserve">Analgesia 1ª linha UTI, procedimentos</t>
  </si>
  <si>
    <t xml:space="preserve">25-50 mcg bolus</t>
  </si>
  <si>
    <t xml:space="preserve">25-200 mcg/h ou 0.5-2 mcg/kg/h</t>
  </si>
  <si>
    <t xml:space="preserve">400 mcg/h</t>
  </si>
  <si>
    <t xml:space="preserve">500mcg em 50mL SF = 10mcg/mL</t>
  </si>
  <si>
    <t xml:space="preserve">EV/IC</t>
  </si>
  <si>
    <t xml:space="preserve">Rigidez torácica (bolus rápido), acúmulo IRC</t>
  </si>
  <si>
    <t xml:space="preserve">Hipotensão severa</t>
  </si>
  <si>
    <t xml:space="preserve">Morfina</t>
  </si>
  <si>
    <t xml:space="preserve">Dor grave, edema agudo pulmão</t>
  </si>
  <si>
    <t xml:space="preserve">2–5 mg bolus</t>
  </si>
  <si>
    <t xml:space="preserve">2–15 mg/h</t>
  </si>
  <si>
    <t xml:space="preserve">30 mg/h</t>
  </si>
  <si>
    <t xml:space="preserve">50mg em 50mL SF = 1mg/mL</t>
  </si>
  <si>
    <t xml:space="preserve">Histamina, hipotensão, acúmulo IRC ++</t>
  </si>
  <si>
    <t xml:space="preserve">IRC grave, hipotensão, broncoespasmo</t>
  </si>
  <si>
    <t xml:space="preserve">Remifentanil</t>
  </si>
  <si>
    <t xml:space="preserve">Sedoanalgesia, despertar rápido</t>
  </si>
  <si>
    <t xml:space="preserve">0.05–0.2 mcg/kg/min</t>
  </si>
  <si>
    <t xml:space="preserve">0.05–0.5 mcg/kg/min</t>
  </si>
  <si>
    <t xml:space="preserve">1 mcg/kg/min</t>
  </si>
  <si>
    <t xml:space="preserve">2mg em 40mL SF = 50mcg/mL</t>
  </si>
  <si>
    <t xml:space="preserve">IC central</t>
  </si>
  <si>
    <t xml:space="preserve">Hiperalgesia por opioide, suspender gradual</t>
  </si>
  <si>
    <t xml:space="preserve">Sem indicação para bolus</t>
  </si>
  <si>
    <t xml:space="preserve">Midazolam</t>
  </si>
  <si>
    <t xml:space="preserve">Sedação aguda, convulsão, procedimento</t>
  </si>
  <si>
    <t xml:space="preserve">0.02–0.1 mg/kg/h</t>
  </si>
  <si>
    <t xml:space="preserve">20 mg/h IC</t>
  </si>
  <si>
    <t xml:space="preserve">Acúmulo (&gt;48h), delirium, hipotensão</t>
  </si>
  <si>
    <t xml:space="preserve">Idosos, hepatopatia grave, uso prolongado</t>
  </si>
  <si>
    <t xml:space="preserve">Propofol</t>
  </si>
  <si>
    <t xml:space="preserve">Sedação leve-mod, despertar rápido</t>
  </si>
  <si>
    <t xml:space="preserve">5–50 mcg/kg/min</t>
  </si>
  <si>
    <t xml:space="preserve">5–80 mcg/kg/min</t>
  </si>
  <si>
    <t xml:space="preserve">80 mcg/kg/min</t>
  </si>
  <si>
    <t xml:space="preserve">Pronto uso (10mg/mL)</t>
  </si>
  <si>
    <t xml:space="preserve">IC central pref.</t>
  </si>
  <si>
    <t xml:space="preserve">PRIS (&gt;4mg/kg/h &gt;48h), hipertrigliceridemia, hipotensão</t>
  </si>
  <si>
    <t xml:space="preserve">Alergia ovo/soja, distúrbio lipídico grave</t>
  </si>
  <si>
    <t xml:space="preserve">Dexmedetomidina</t>
  </si>
  <si>
    <t xml:space="preserve">Sedação leve-mod, desmame VM, delirium</t>
  </si>
  <si>
    <t xml:space="preserve">Bolus 0.5-1 mcg/kg/h (opc)</t>
  </si>
  <si>
    <t xml:space="preserve">0.2–0.7 mcg/kg/h</t>
  </si>
  <si>
    <t xml:space="preserve">1.4 mcg/kg/h</t>
  </si>
  <si>
    <t xml:space="preserve">200mcg em 50mL SF = 4mcg/mL</t>
  </si>
  <si>
    <t xml:space="preserve">Bradicardia, hipotensão, hipertensão com bolus</t>
  </si>
  <si>
    <t xml:space="preserve">BAV grau 2-3, hipotensão grave</t>
  </si>
  <si>
    <t xml:space="preserve">Cetamina</t>
  </si>
  <si>
    <t xml:space="preserve">Broncoespasmo, procedimento, sedação alternativa</t>
  </si>
  <si>
    <t xml:space="preserve">1–2 mg/kg bolus</t>
  </si>
  <si>
    <t xml:space="preserve">0.1–1.5 mg/kg/h</t>
  </si>
  <si>
    <t xml:space="preserve">2 mg/kg/h</t>
  </si>
  <si>
    <t xml:space="preserve">200mg em 100mL SF = 2mg/mL</t>
  </si>
  <si>
    <t xml:space="preserve">Dissociação, hipersecreção, hipertensão, alucinação</t>
  </si>
  <si>
    <t xml:space="preserve">HIC, IAM ativo, psicose ativa</t>
  </si>
  <si>
    <t xml:space="preserve">Haloperidol</t>
  </si>
  <si>
    <t xml:space="preserve">Delirium hiperativo, agitação</t>
  </si>
  <si>
    <t xml:space="preserve">2.5–5 mg bolus EV/IM</t>
  </si>
  <si>
    <t xml:space="preserve">Titular a cada 20–30min</t>
  </si>
  <si>
    <t xml:space="preserve">30 mg/dia</t>
  </si>
  <si>
    <t xml:space="preserve">Diluir em SG5%</t>
  </si>
  <si>
    <t xml:space="preserve">EV/IM</t>
  </si>
  <si>
    <t xml:space="preserve">QT prolongado, SEP, hipotensão</t>
  </si>
  <si>
    <t xml:space="preserve">QTc&gt;500ms, doença de Parkinson</t>
  </si>
  <si>
    <t xml:space="preserve">Quetiapina</t>
  </si>
  <si>
    <t xml:space="preserve">Delirium, insônia, agitação leve-mod</t>
  </si>
  <si>
    <t xml:space="preserve">12.5–25 mg VO/SNG</t>
  </si>
  <si>
    <t xml:space="preserve">25–200 mg/dia</t>
  </si>
  <si>
    <t xml:space="preserve">400 mg/dia</t>
  </si>
  <si>
    <t xml:space="preserve">VO/SNG</t>
  </si>
  <si>
    <t xml:space="preserve">QT prolongado, sedação excessiva, hipotensão ortostática</t>
  </si>
  <si>
    <t xml:space="preserve">QTc&gt;500ms, via oral impossível isoladamente</t>
  </si>
  <si>
    <t xml:space="preserve">Rocurônio</t>
  </si>
  <si>
    <t xml:space="preserve">BNM: IOT de sequência rápida, ventilação difícil</t>
  </si>
  <si>
    <t xml:space="preserve">0.6–1.2 mg/kg bolus IOT</t>
  </si>
  <si>
    <t xml:space="preserve">IC: 0.1–0.6 mg/kg/h</t>
  </si>
  <si>
    <t xml:space="preserve">—</t>
  </si>
  <si>
    <t xml:space="preserve">Direto ou diluído</t>
  </si>
  <si>
    <t xml:space="preserve">EV bolus/IC</t>
  </si>
  <si>
    <t xml:space="preserve">Monitorar TOF, acúmulo, paralisia prolongada</t>
  </si>
  <si>
    <t xml:space="preserve">Sem reversão disponível sem sugammadex</t>
  </si>
  <si>
    <t xml:space="preserve">Cisatracúrio</t>
  </si>
  <si>
    <t xml:space="preserve">BNM: SDRA grave (48h), hipertensão intracraniana</t>
  </si>
  <si>
    <t xml:space="preserve">0.1–0.2 mg/kg bolus</t>
  </si>
  <si>
    <t xml:space="preserve">IC: 1–3 mcg/kg/min</t>
  </si>
  <si>
    <t xml:space="preserve">10mg em 50mL SF = 200mcg/mL</t>
  </si>
  <si>
    <t xml:space="preserve">Monitorar TOF, fraqueza prolongada</t>
  </si>
  <si>
    <t xml:space="preserve">Sem indicação para IOT de rotina</t>
  </si>
  <si>
    <t xml:space="preserve">🔠 BUNDLE ABCDEF UTI (PADIS 2018)</t>
  </si>
  <si>
    <t xml:space="preserve">  A  </t>
  </si>
  <si>
    <t xml:space="preserve">Assess/Prevent Pain</t>
  </si>
  <si>
    <t xml:space="preserve">Avaliar e tratar dor — CPOT/BPS; analgesia antes de sedação (analgesia-first)</t>
  </si>
  <si>
    <t xml:space="preserve">  B  </t>
  </si>
  <si>
    <t xml:space="preserve">Both SAT &amp; SBT</t>
  </si>
  <si>
    <t xml:space="preserve">Despertar diário (SAT) + Teste Resp. Espontânea (SBT) — reduz dias VM</t>
  </si>
  <si>
    <t xml:space="preserve">  C  </t>
  </si>
  <si>
    <t xml:space="preserve">Choice of Sedation</t>
  </si>
  <si>
    <t xml:space="preserve">Preferir sedação leve (RASS -1 a 0), dexmedetomidina/propofol; evitar midazolam</t>
  </si>
  <si>
    <t xml:space="preserve">  D  </t>
  </si>
  <si>
    <t xml:space="preserve">Delirium Assessment</t>
  </si>
  <si>
    <t xml:space="preserve">CAM-ICU 2x/dia; haloperidol ou quetiapina se hiperativo; mobilização precoce</t>
  </si>
  <si>
    <t xml:space="preserve">  E  </t>
  </si>
  <si>
    <t xml:space="preserve">Early Mobility</t>
  </si>
  <si>
    <t xml:space="preserve">Fisioterapia precoce, sentar, deambular quando possível; reduz ICU-AW</t>
  </si>
  <si>
    <t xml:space="preserve">  F  </t>
  </si>
  <si>
    <t xml:space="preserve">Family Engagement</t>
  </si>
  <si>
    <t xml:space="preserve">Família na reabilitação e nas discussões de prognóstico e metas de cuidado</t>
  </si>
  <si>
    <t xml:space="preserve">💊 ANTIBIÓTICOS — AJUSTE DE DOSE POR FUNÇÃO RENAL (Clearance Creatinina)</t>
  </si>
  <si>
    <t xml:space="preserve">⚠️  Doses devem ser individualizadas conforme peso, função renal, gravidade, MIC, foco, diálise e protocolo local. Confirmar com farmácia clínica.</t>
  </si>
  <si>
    <t xml:space="preserve">ANTIBIÓTICO</t>
  </si>
  <si>
    <t xml:space="preserve">ESPECTRO PRINCIPAL</t>
  </si>
  <si>
    <t xml:space="preserve">DOSE NORMAL
(ClCr&gt;50)</t>
  </si>
  <si>
    <t xml:space="preserve">ClCr
30–50</t>
  </si>
  <si>
    <t xml:space="preserve">ClCr
10–30</t>
  </si>
  <si>
    <t xml:space="preserve">ClCr
&lt;10</t>
  </si>
  <si>
    <t xml:space="preserve">HD
(pós-HD)</t>
  </si>
  <si>
    <t xml:space="preserve">CRRT
(KDIGO)</t>
  </si>
  <si>
    <t xml:space="preserve">TDM?</t>
  </si>
  <si>
    <t xml:space="preserve">NEFROTÓXICO?</t>
  </si>
  <si>
    <t xml:space="preserve">OBSERVAÇÕES CLÍNICAS</t>
  </si>
  <si>
    <t xml:space="preserve">— BETA-LACTÂMICOS — PENICILINAS/CARBAPENENS —</t>
  </si>
  <si>
    <t xml:space="preserve">Piperacilina-Tazobactam</t>
  </si>
  <si>
    <t xml:space="preserve">Gram+/-, anaeróbios, Pseudomonas</t>
  </si>
  <si>
    <t xml:space="preserve">4.5g q6h EV</t>
  </si>
  <si>
    <t xml:space="preserve">4.5g q8h</t>
  </si>
  <si>
    <t xml:space="preserve">4.5g q12h</t>
  </si>
  <si>
    <t xml:space="preserve">2.25g q12h</t>
  </si>
  <si>
    <t xml:space="preserve">2.25g q12h + dose pós-HD</t>
  </si>
  <si>
    <t xml:space="preserve">4.5g q8h (PD extra)</t>
  </si>
  <si>
    <t xml:space="preserve">Não</t>
  </si>
  <si>
    <t xml:space="preserve">Neurotox em IDRenal; ajustar em obesos</t>
  </si>
  <si>
    <t xml:space="preserve">Meropenem</t>
  </si>
  <si>
    <t xml:space="preserve">Gram+/- amplo, ESBL, Pseudomonas</t>
  </si>
  <si>
    <t xml:space="preserve">1–2g q8h EV</t>
  </si>
  <si>
    <t xml:space="preserve">1g q12h</t>
  </si>
  <si>
    <t xml:space="preserve">500mg q12h</t>
  </si>
  <si>
    <t xml:space="preserve">500mg q24h</t>
  </si>
  <si>
    <t xml:space="preserve">500mg q24h + pós-HD</t>
  </si>
  <si>
    <t xml:space="preserve">CRRT: aumentar conforme alvo PK/PD; ponderar infusão extendida</t>
  </si>
  <si>
    <t xml:space="preserve">Imipenem-Cilastatina</t>
  </si>
  <si>
    <t xml:space="preserve">Gram+/- amplo, ESBL</t>
  </si>
  <si>
    <t xml:space="preserve">500mg q6h ou 1g q8h</t>
  </si>
  <si>
    <t xml:space="preserve">500mg q8h</t>
  </si>
  <si>
    <t xml:space="preserve">250mg q6h</t>
  </si>
  <si>
    <t xml:space="preserve">250mg q12h</t>
  </si>
  <si>
    <t xml:space="preserve">Convulsão em dose alta/IRC; evitar em SNC</t>
  </si>
  <si>
    <t xml:space="preserve">Ertapenem</t>
  </si>
  <si>
    <t xml:space="preserve">Gram+/-, ESBL (NÃO Pseudomonas/Acinetobacter)</t>
  </si>
  <si>
    <t xml:space="preserve">1g q24h EV/IM</t>
  </si>
  <si>
    <t xml:space="preserve">1g q24h</t>
  </si>
  <si>
    <t xml:space="preserve">Não cobre não-fermentadores; melhor para ESBL comunitária</t>
  </si>
  <si>
    <t xml:space="preserve">Ampicilina</t>
  </si>
  <si>
    <t xml:space="preserve">Streptococcus, Enterococcus, Listeria</t>
  </si>
  <si>
    <t xml:space="preserve">2g q4-6h EV</t>
  </si>
  <si>
    <t xml:space="preserve">2g q6h</t>
  </si>
  <si>
    <t xml:space="preserve">1.5g q8h</t>
  </si>
  <si>
    <t xml:space="preserve">1g q24h + pós-HD</t>
  </si>
  <si>
    <t xml:space="preserve">1g q8h</t>
  </si>
  <si>
    <t xml:space="preserve">Espectro limitado; checar resistência local</t>
  </si>
  <si>
    <t xml:space="preserve">Ampicilina-Sulbactam</t>
  </si>
  <si>
    <t xml:space="preserve">Gram+, Acinetobacter (high dose)</t>
  </si>
  <si>
    <t xml:space="preserve">3g q6h EV</t>
  </si>
  <si>
    <t xml:space="preserve">3g q8h</t>
  </si>
  <si>
    <t xml:space="preserve">3g q12h</t>
  </si>
  <si>
    <t xml:space="preserve">3g q24h</t>
  </si>
  <si>
    <t xml:space="preserve">3g q24h + pós-HD</t>
  </si>
  <si>
    <t xml:space="preserve">Acinetobacter: 9g/dia — sulbactam é o ativo</t>
  </si>
  <si>
    <t xml:space="preserve">Cefazolina</t>
  </si>
  <si>
    <t xml:space="preserve">Gram+ (pele, profilaxia cirúrgica)</t>
  </si>
  <si>
    <t xml:space="preserve">2g q8h EV</t>
  </si>
  <si>
    <t xml:space="preserve">2g q12h</t>
  </si>
  <si>
    <t xml:space="preserve">Profilaxia cirúrgica 1ª escolha</t>
  </si>
  <si>
    <t xml:space="preserve">Ceftriaxona</t>
  </si>
  <si>
    <t xml:space="preserve">Gram+/- (SNC, pneumonia, abdome)</t>
  </si>
  <si>
    <t xml:space="preserve">2g q12-24h EV</t>
  </si>
  <si>
    <t xml:space="preserve">Sem ajuste</t>
  </si>
  <si>
    <t xml:space="preserve">Eliminação biliar; usar com segurança em IRC; precipitação Ca+2</t>
  </si>
  <si>
    <t xml:space="preserve">Cefepime</t>
  </si>
  <si>
    <t xml:space="preserve">Gram- (Pseudomonas), febre neutropen.</t>
  </si>
  <si>
    <t xml:space="preserve">Neurotox em IRC — encefalopatia por cefepime!</t>
  </si>
  <si>
    <t xml:space="preserve">Ceftazidima</t>
  </si>
  <si>
    <t xml:space="preserve">Gram-, Pseudomonas (infecção urológica/hosp.)</t>
  </si>
  <si>
    <t xml:space="preserve">500mg q48h</t>
  </si>
  <si>
    <t xml:space="preserve">500mg q48h + pós-HD</t>
  </si>
  <si>
    <t xml:space="preserve">Menos ativo que cefepime para Gram+</t>
  </si>
  <si>
    <t xml:space="preserve">Amoxicilina-Clavulanato</t>
  </si>
  <si>
    <t xml:space="preserve">Gram+/-, MSSA, H. influenzae</t>
  </si>
  <si>
    <t xml:space="preserve">875/125mg q12h VO</t>
  </si>
  <si>
    <t xml:space="preserve">Evitar</t>
  </si>
  <si>
    <t xml:space="preserve">Evitar (hepatotox)</t>
  </si>
  <si>
    <t xml:space="preserve">Ajustar</t>
  </si>
  <si>
    <t xml:space="preserve">Hepatotoxicidade; principal para ambulatorial</t>
  </si>
  <si>
    <t xml:space="preserve">— GLICOPEPTÍDEOS / OXAZOLIDINONAS —</t>
  </si>
  <si>
    <t xml:space="preserve">Vancomicina</t>
  </si>
  <si>
    <t xml:space="preserve">MRSA, Enterococcus, gram+ resistentes</t>
  </si>
  <si>
    <t xml:space="preserve">TDM: AUC/MIC 400-600</t>
  </si>
  <si>
    <t xml:space="preserve">TDM obrigatório</t>
  </si>
  <si>
    <t xml:space="preserve">TDM obrigatório; dose única e monitorar</t>
  </si>
  <si>
    <t xml:space="preserve">TDM pós-HD (15mg/kg q48-96h)</t>
  </si>
  <si>
    <t xml:space="preserve">✅ SIM — AUC/MIC</t>
  </si>
  <si>
    <t xml:space="preserve">✅ SIM</t>
  </si>
  <si>
    <t xml:space="preserve">AUC/MIC 400-600 (IDSA 2020); monitorar nefrotox; evitar com piperacilina-tazo</t>
  </si>
  <si>
    <t xml:space="preserve">Teicoplanina</t>
  </si>
  <si>
    <t xml:space="preserve">MRSA, Enterococcus gram+</t>
  </si>
  <si>
    <t xml:space="preserve">Loading 12mg/kg q12h x3 → 12mg/kg/d</t>
  </si>
  <si>
    <t xml:space="preserve">6mg/kg q48h</t>
  </si>
  <si>
    <t xml:space="preserve">6mg/kg q72h</t>
  </si>
  <si>
    <t xml:space="preserve">6mg/kg q96h</t>
  </si>
  <si>
    <t xml:space="preserve">Dose pós-HD</t>
  </si>
  <si>
    <t xml:space="preserve">Sem dados robustos</t>
  </si>
  <si>
    <t xml:space="preserve">✅ SIM — vale de pré-dose</t>
  </si>
  <si>
    <t xml:space="preserve">⚠️ Moderado</t>
  </si>
  <si>
    <t xml:space="preserve">Meia-vida longa; não removida por HD; monitorar CMV(MIC)</t>
  </si>
  <si>
    <t xml:space="preserve">Linezolida</t>
  </si>
  <si>
    <t xml:space="preserve">MRSA, VRE, Gram+ resistentes</t>
  </si>
  <si>
    <t xml:space="preserve">600mg q12h EV/VO</t>
  </si>
  <si>
    <t xml:space="preserve">Sem ajuste (monitorar)</t>
  </si>
  <si>
    <t xml:space="preserve">Sem ajuste formal (acúmulo metab.)</t>
  </si>
  <si>
    <t xml:space="preserve">Opcional (TDM)</t>
  </si>
  <si>
    <t xml:space="preserve">Mielossupressão, serotonina syndrome; 14 dias máx</t>
  </si>
  <si>
    <t xml:space="preserve">Daptomicina</t>
  </si>
  <si>
    <t xml:space="preserve">MRSA, bacteremia, endocardite, VRE</t>
  </si>
  <si>
    <t xml:space="preserve">6–12mg/kg/dia EV</t>
  </si>
  <si>
    <t xml:space="preserve">6mg/kg q48h (pós-HD)</t>
  </si>
  <si>
    <t xml:space="preserve">8mg/kg q48h</t>
  </si>
  <si>
    <t xml:space="preserve">CK semanal</t>
  </si>
  <si>
    <t xml:space="preserve">Inativada por surfactante — NÃO usar em pneumonia!</t>
  </si>
  <si>
    <t xml:space="preserve">— POLIMIXINAS / TIGECICLINA —</t>
  </si>
  <si>
    <t xml:space="preserve">Polimixina B</t>
  </si>
  <si>
    <t xml:space="preserve">Gram- MDR/XDR (Acinetobacter, Klebsiella, Pseudomonas)</t>
  </si>
  <si>
    <t xml:space="preserve">25.000 UI/kg/dia ÷ q12h</t>
  </si>
  <si>
    <t xml:space="preserve">25.000 UI/kg/dia</t>
  </si>
  <si>
    <t xml:space="preserve">25.000 UI/kg/dia (DOSE BASEADA EM PESO IDEAL)</t>
  </si>
  <si>
    <t xml:space="preserve">Dose após HD ou contínua</t>
  </si>
  <si>
    <t xml:space="preserve">Sem ajuste (mínima remoção)</t>
  </si>
  <si>
    <t xml:space="preserve">✅✅ ALTA</t>
  </si>
  <si>
    <t xml:space="preserve">Nefrotox dose-dep; NÃO ajustar pelo CrCl (Polimixina B DIFERENTE da colistina)</t>
  </si>
  <si>
    <t xml:space="preserve">Colistina (Colistimetato)</t>
  </si>
  <si>
    <t xml:space="preserve">Gram- MDR — alternativa Polimixina B</t>
  </si>
  <si>
    <t xml:space="preserve">CBA = 2.5 mg/kg/dia ÷ q8-12h</t>
  </si>
  <si>
    <t xml:space="preserve">CBA reduzir 30%</t>
  </si>
  <si>
    <t xml:space="preserve">CBA 1.5 mg/kg/dia</t>
  </si>
  <si>
    <t xml:space="preserve">CBA 1 mg/kg q36h</t>
  </si>
  <si>
    <t xml:space="preserve">Dose única 2.5mg/kg q48h + pós-HD</t>
  </si>
  <si>
    <t xml:space="preserve">Dose ajustada por clearance</t>
  </si>
  <si>
    <t xml:space="preserve">TDM se disponível</t>
  </si>
  <si>
    <t xml:space="preserve">Pró-droga; ajuste DIFERENTE da polimixina B; neurotox</t>
  </si>
  <si>
    <t xml:space="preserve">Tigeciclina</t>
  </si>
  <si>
    <t xml:space="preserve">Gram+/- MDR incluindo Acinetobacter, anaeróbios</t>
  </si>
  <si>
    <t xml:space="preserve">Loading 100mg → 50mg q12h</t>
  </si>
  <si>
    <t xml:space="preserve">Excreção biliar; nível sérico baixo (não usar em bacteremia); mortalidade aumentada em UTI</t>
  </si>
  <si>
    <t xml:space="preserve">— AMINOGLICOSÍDEOS —</t>
  </si>
  <si>
    <t xml:space="preserve">Amicacina</t>
  </si>
  <si>
    <t xml:space="preserve">Gram-, Pseudomonas; sinergismo Gram+</t>
  </si>
  <si>
    <t xml:space="preserve">15–20 mg/kg/dia EV</t>
  </si>
  <si>
    <t xml:space="preserve">Monitorar Vale</t>
  </si>
  <si>
    <t xml:space="preserve">10mg/kg q48h</t>
  </si>
  <si>
    <t xml:space="preserve">Monitorar nível</t>
  </si>
  <si>
    <t xml:space="preserve">Dose pós-HD (7.5mg/kg)</t>
  </si>
  <si>
    <t xml:space="preserve">TDM guiado</t>
  </si>
  <si>
    <t xml:space="preserve">✅ SIM — vale e pico</t>
  </si>
  <si>
    <t xml:space="preserve">Nível: pico 60-80; vale &lt;5; ototox + nefrotox; dose única preferível</t>
  </si>
  <si>
    <t xml:space="preserve">Gentamicina</t>
  </si>
  <si>
    <t xml:space="preserve">Gram- UTI; sinergismo endocardite</t>
  </si>
  <si>
    <t xml:space="preserve">5–7 mg/kg/dia EV</t>
  </si>
  <si>
    <t xml:space="preserve">Monitorar</t>
  </si>
  <si>
    <t xml:space="preserve">Dose extendida q48h</t>
  </si>
  <si>
    <t xml:space="preserve">Dose pós-HD (1.5-2mg/kg)</t>
  </si>
  <si>
    <t xml:space="preserve">TDM</t>
  </si>
  <si>
    <t xml:space="preserve">Evitar uso prolongado; nefrotox+ototox</t>
  </si>
  <si>
    <t xml:space="preserve">— FLUOROQUINOLONAS —</t>
  </si>
  <si>
    <t xml:space="preserve">Ciprofloxacino</t>
  </si>
  <si>
    <t xml:space="preserve">Gram-, Pseudomonas, UTI/respiratório/abdominal</t>
  </si>
  <si>
    <t xml:space="preserve">400mg q12h EV</t>
  </si>
  <si>
    <t xml:space="preserve">400mg q12h</t>
  </si>
  <si>
    <t xml:space="preserve">200mg q12h</t>
  </si>
  <si>
    <t xml:space="preserve">200mg q24h</t>
  </si>
  <si>
    <t xml:space="preserve">200mg q24h + pós-HD</t>
  </si>
  <si>
    <t xml:space="preserve">QT prolongado; interação com Mg2+/Ca2+; MIC resistência crescente</t>
  </si>
  <si>
    <t xml:space="preserve">Levofloxacino</t>
  </si>
  <si>
    <t xml:space="preserve">Pneumonia, Gram-, atípicos</t>
  </si>
  <si>
    <t xml:space="preserve">750mg q24h EV/VO</t>
  </si>
  <si>
    <t xml:space="preserve">250mg q24h</t>
  </si>
  <si>
    <t xml:space="preserve">250mg q48h</t>
  </si>
  <si>
    <t xml:space="preserve">250mg q48h + pós-HD</t>
  </si>
  <si>
    <t xml:space="preserve">QT; fluoroquinolona preferida para SNC/pneumonia</t>
  </si>
  <si>
    <t xml:space="preserve">— OUTROS ANTIBACTERIANOS —</t>
  </si>
  <si>
    <t xml:space="preserve">Metronidazol</t>
  </si>
  <si>
    <t xml:space="preserve">Anaeróbios, C. difficile, abscesso</t>
  </si>
  <si>
    <t xml:space="preserve">500mg q8h EV/VO</t>
  </si>
  <si>
    <t xml:space="preserve">500mg q12h (cuidado acúmulo metab.)</t>
  </si>
  <si>
    <t xml:space="preserve">Neuropatia periférica uso prolongado; efeito antabuse</t>
  </si>
  <si>
    <t xml:space="preserve">Clindamicina</t>
  </si>
  <si>
    <t xml:space="preserve">Gram+, anaeróbios, pele/tecido mole</t>
  </si>
  <si>
    <t xml:space="preserve">600–900mg q8h EV</t>
  </si>
  <si>
    <t xml:space="preserve">Excreção biliar; C. difficile risco alto</t>
  </si>
  <si>
    <t xml:space="preserve">SMX-TMP (Sulfametoxazol)</t>
  </si>
  <si>
    <t xml:space="preserve">PCP, MRSA comunitário, nocardia</t>
  </si>
  <si>
    <t xml:space="preserve">5mg/kg TMP q8h EV</t>
  </si>
  <si>
    <t xml:space="preserve">Metade da dose</t>
  </si>
  <si>
    <t xml:space="preserve">1/3 da dose</t>
  </si>
  <si>
    <t xml:space="preserve">Evitar ou usar com cautela</t>
  </si>
  <si>
    <t xml:space="preserve">Dose extra pós-HD</t>
  </si>
  <si>
    <t xml:space="preserve">Ajustar TMP</t>
  </si>
  <si>
    <t xml:space="preserve">Sim (TMP)</t>
  </si>
  <si>
    <t xml:space="preserve">Cristalúria; hipercalemia (bloqueia canal K+); monitorar creatinina</t>
  </si>
  <si>
    <t xml:space="preserve">— ANTIFÚNGICOS —</t>
  </si>
  <si>
    <t xml:space="preserve">Fluconazol</t>
  </si>
  <si>
    <t xml:space="preserve">Candida (não-krusei/glabrata), criptococo</t>
  </si>
  <si>
    <t xml:space="preserve">400–800mg q24h EV</t>
  </si>
  <si>
    <t xml:space="preserve">Sem ajuste (dose carregamento)</t>
  </si>
  <si>
    <t xml:space="preserve">100mg q24h</t>
  </si>
  <si>
    <t xml:space="preserve">100mg q24h + pós-HD</t>
  </si>
  <si>
    <t xml:space="preserve">200–400mg q24h</t>
  </si>
  <si>
    <t xml:space="preserve">QT; interação warfarina/tacrolimus; alternativa às equinocandinas</t>
  </si>
  <si>
    <t xml:space="preserve">Micafungina</t>
  </si>
  <si>
    <t xml:space="preserve">Candida (incluindo biofilme, cateter), Aspergillus</t>
  </si>
  <si>
    <t xml:space="preserve">100–150mg q24h EV</t>
  </si>
  <si>
    <t xml:space="preserve">1ª escolha candidemia IDSA; segura em IRC</t>
  </si>
  <si>
    <t xml:space="preserve">Anfotericina B Lipossomal</t>
  </si>
  <si>
    <t xml:space="preserve">Aspergillus, Candida refrat., mucormicose</t>
  </si>
  <si>
    <t xml:space="preserve">3–5 mg/kg/dia EV</t>
  </si>
  <si>
    <t xml:space="preserve">Sem ajuste formal</t>
  </si>
  <si>
    <t xml:space="preserve">Monitorar nefrotox</t>
  </si>
  <si>
    <t xml:space="preserve">Usar com cautela</t>
  </si>
  <si>
    <t xml:space="preserve">Dose após HD</t>
  </si>
  <si>
    <t xml:space="preserve">Pré-medicar; monitorar K+/Mg2+/creatinina; formul. lipossomal preferida</t>
  </si>
  <si>
    <t xml:space="preserve">Voriconazol</t>
  </si>
  <si>
    <t xml:space="preserve">Aspergillus, Candida resistente, fusariose</t>
  </si>
  <si>
    <t xml:space="preserve">6mg/kg q12h D1 → 4mg/kg q12h EV</t>
  </si>
  <si>
    <t xml:space="preserve">Oral se CrCl&lt;50 (excipiente veículo)</t>
  </si>
  <si>
    <t xml:space="preserve">Oral (excipiente nefrotóxico EV)</t>
  </si>
  <si>
    <t xml:space="preserve">Oral pref.</t>
  </si>
  <si>
    <t xml:space="preserve">✅ SIM — TDM</t>
  </si>
  <si>
    <t xml:space="preserve">⚠️ (excipiente)</t>
  </si>
  <si>
    <t xml:space="preserve">TDM: nível 2-5 mcg/mL; interação CYP450 extensa; fototox</t>
  </si>
  <si>
    <t xml:space="preserve">— ANTIVIRAIS —</t>
  </si>
  <si>
    <t xml:space="preserve">Aciclovir</t>
  </si>
  <si>
    <t xml:space="preserve">HSV, VZV, encefalite herpética</t>
  </si>
  <si>
    <t xml:space="preserve">10 mg/kg q8h EV</t>
  </si>
  <si>
    <t xml:space="preserve">10mg/kg q12h</t>
  </si>
  <si>
    <t xml:space="preserve">10mg/kg q24h</t>
  </si>
  <si>
    <t xml:space="preserve">5mg/kg q24h</t>
  </si>
  <si>
    <t xml:space="preserve">Dose ajustada</t>
  </si>
  <si>
    <t xml:space="preserve">✅ Sim (cristais)</t>
  </si>
  <si>
    <t xml:space="preserve">Hidratação vigorosa; cristalúria; nefrotox; reduzir dose IRC</t>
  </si>
  <si>
    <t xml:space="preserve">Ganciclovir</t>
  </si>
  <si>
    <t xml:space="preserve">CMV (retinite, colite, pneumonia)</t>
  </si>
  <si>
    <t xml:space="preserve">5mg/kg q12h EV indução</t>
  </si>
  <si>
    <t xml:space="preserve">2.5mg/kg q12h</t>
  </si>
  <si>
    <t xml:space="preserve">2.5mg/kg q24h</t>
  </si>
  <si>
    <t xml:space="preserve">1.25mg/kg q24h 3x/sem</t>
  </si>
  <si>
    <t xml:space="preserve">1.25mg/kg q24h pós-HD</t>
  </si>
  <si>
    <t xml:space="preserve">Mielossupressão; monitorar hemograma</t>
  </si>
  <si>
    <t xml:space="preserve">Oseltamivir</t>
  </si>
  <si>
    <t xml:space="preserve">Influenza A e B, H1N1</t>
  </si>
  <si>
    <t xml:space="preserve">75mg q12h VO/SNG</t>
  </si>
  <si>
    <t xml:space="preserve">75mg q24h</t>
  </si>
  <si>
    <t xml:space="preserve">30–45mg q24h</t>
  </si>
  <si>
    <t xml:space="preserve">30mg q24h</t>
  </si>
  <si>
    <t xml:space="preserve">Iniciar em 48h; pode usar em gestantes; 10 dias em imunossuprimidos</t>
  </si>
  <si>
    <t xml:space="preserve">🩺 MEDICAÇÕES NÃO ANTIBIÓTICAS — AJUSTE NA DISFUNÇÃO RENAL</t>
  </si>
  <si>
    <t xml:space="preserve">MEDICAMENTO</t>
  </si>
  <si>
    <t xml:space="preserve">INDICAÇÃO UTI</t>
  </si>
  <si>
    <t xml:space="preserve">DOSE USUAL</t>
  </si>
  <si>
    <t xml:space="preserve">ClCr 30–50</t>
  </si>
  <si>
    <t xml:space="preserve">ClCr 10–30</t>
  </si>
  <si>
    <t xml:space="preserve">ClCr &lt;10</t>
  </si>
  <si>
    <t xml:space="preserve">HEMO-DIÁLISE</t>
  </si>
  <si>
    <t xml:space="preserve">CI RELATIVA/ABSOLUTA</t>
  </si>
  <si>
    <t xml:space="preserve">TOXICIDADE ACÚMULO</t>
  </si>
  <si>
    <t xml:space="preserve">— ANTIEPILÉPTICOS —</t>
  </si>
  <si>
    <t xml:space="preserve">Levetiracetam</t>
  </si>
  <si>
    <t xml:space="preserve">Convulsão, status epilepticus, profilaxia</t>
  </si>
  <si>
    <t xml:space="preserve">500–1500mg q12h EV/VO</t>
  </si>
  <si>
    <t xml:space="preserve">500–1000mg q12h</t>
  </si>
  <si>
    <t xml:space="preserve">250–750mg q12h</t>
  </si>
  <si>
    <t xml:space="preserve">500–1000mg q24h</t>
  </si>
  <si>
    <t xml:space="preserve">500mg q24h + dose pós-HD</t>
  </si>
  <si>
    <t xml:space="preserve">Nenhuma absoluta em IRC</t>
  </si>
  <si>
    <t xml:space="preserve">Encefalopatia, sonolência, agitação</t>
  </si>
  <si>
    <t xml:space="preserve">Mais seguro em IRC que fenitoína; ajustar pelo ClCr</t>
  </si>
  <si>
    <t xml:space="preserve">Gabapentina</t>
  </si>
  <si>
    <t xml:space="preserve">Dor neuropática, adjuvante dor crônica</t>
  </si>
  <si>
    <t xml:space="preserve">300–1200mg q8h VO</t>
  </si>
  <si>
    <t xml:space="preserve">300–600mg q12h</t>
  </si>
  <si>
    <t xml:space="preserve">300mg q24h</t>
  </si>
  <si>
    <t xml:space="preserve">300mg q48h</t>
  </si>
  <si>
    <t xml:space="preserve">200–300mg q24h + pós-HD</t>
  </si>
  <si>
    <t xml:space="preserve">IRC moderada: usar cautela</t>
  </si>
  <si>
    <t xml:space="preserve">Sedação, tontura, edema</t>
  </si>
  <si>
    <t xml:space="preserve">Acúmulo importante em IRC; reduzir dose significativamente</t>
  </si>
  <si>
    <t xml:space="preserve">Pregabalina</t>
  </si>
  <si>
    <t xml:space="preserve">Dor neuropática, adjuvante</t>
  </si>
  <si>
    <t xml:space="preserve">75–150mg q12h VO</t>
  </si>
  <si>
    <t xml:space="preserve">75mg q12h</t>
  </si>
  <si>
    <t xml:space="preserve">25–50mg q12h</t>
  </si>
  <si>
    <t xml:space="preserve">25mg q24h</t>
  </si>
  <si>
    <t xml:space="preserve">25mg q24h + pós-HD</t>
  </si>
  <si>
    <t xml:space="preserve">IRC moderada: cautela</t>
  </si>
  <si>
    <t xml:space="preserve">Sedação, tontura, visão turva</t>
  </si>
  <si>
    <t xml:space="preserve">Semelhante à gabapentina; excreção renal</t>
  </si>
  <si>
    <t xml:space="preserve">— ANTICOAGULANTES —</t>
  </si>
  <si>
    <t xml:space="preserve">Enoxaparina (Clexane)</t>
  </si>
  <si>
    <t xml:space="preserve">TEV profilaxia / anticoag. plena</t>
  </si>
  <si>
    <t xml:space="preserve">Profilax: 40mg q24h | Plena: 1mg/kg q12h</t>
  </si>
  <si>
    <t xml:space="preserve">30mg q24h profilax | 1mg/kg q24h terapêutica</t>
  </si>
  <si>
    <t xml:space="preserve">20mg q24h | 0.5mg/kg q24h</t>
  </si>
  <si>
    <t xml:space="preserve">Evitar; se essencial: 20mg q48h + anti-Xa</t>
  </si>
  <si>
    <t xml:space="preserve">CONTRAINDICADA — acúmulo</t>
  </si>
  <si>
    <t xml:space="preserve">ClCr&lt;30: usar HNF</t>
  </si>
  <si>
    <t xml:space="preserve">Sangramento grave, HITS</t>
  </si>
  <si>
    <t xml:space="preserve">Monitorar anti-Xa se ClCr&lt;30; preferir HNF em HD</t>
  </si>
  <si>
    <t xml:space="preserve">Fondaparinux</t>
  </si>
  <si>
    <t xml:space="preserve">TEV profilaxia/plena; HIT</t>
  </si>
  <si>
    <t xml:space="preserve">2.5mg q24h SC profilax | 7.5mg q24h terapêut.</t>
  </si>
  <si>
    <t xml:space="preserve">Cuidado — monitorar</t>
  </si>
  <si>
    <t xml:space="preserve">CONTRAINDICADA ClCr&lt;30</t>
  </si>
  <si>
    <t xml:space="preserve">CONTRAINDICADA</t>
  </si>
  <si>
    <t xml:space="preserve">ClCr&lt;30 ABSOLUTA</t>
  </si>
  <si>
    <t xml:space="preserve">Sangramento grave, sem antídoto</t>
  </si>
  <si>
    <t xml:space="preserve">Meia-vida aumenta muito com IRC; sem antídoto confiável</t>
  </si>
  <si>
    <t xml:space="preserve">— CARDIOVASCULARES —</t>
  </si>
  <si>
    <t xml:space="preserve">Digoxina</t>
  </si>
  <si>
    <t xml:space="preserve">FA com baixo DC, ICC refratária</t>
  </si>
  <si>
    <t xml:space="preserve">0.125–0.25 mg/dia VO</t>
  </si>
  <si>
    <t xml:space="preserve">0.0625mg q24h ou em dias alt.</t>
  </si>
  <si>
    <t xml:space="preserve">Evitar ou 0.0625mg q48h</t>
  </si>
  <si>
    <t xml:space="preserve">EVITAR</t>
  </si>
  <si>
    <t xml:space="preserve">Repor pós-HD com cautela; dosar nível</t>
  </si>
  <si>
    <t xml:space="preserve">ClCr&lt;30: risco alto intoxicação</t>
  </si>
  <si>
    <t xml:space="preserve">Bradicardia, BAV, arritmia, xantopsia</t>
  </si>
  <si>
    <t xml:space="preserve">Janela terapêutica estreita; dosar nível 6-8h após dose (alvo 0.5-1 ng/mL)</t>
  </si>
  <si>
    <t xml:space="preserve">Metformina</t>
  </si>
  <si>
    <t xml:space="preserve">DM2 (suspender na UTI)</t>
  </si>
  <si>
    <t xml:space="preserve">500–2500mg/dia VO</t>
  </si>
  <si>
    <t xml:space="preserve">Suspender se ClCr&lt;45 (risco acidose lática)</t>
  </si>
  <si>
    <t xml:space="preserve">ClCr&lt;45 ABSOLUTA</t>
  </si>
  <si>
    <t xml:space="preserve">Acidose lática grave</t>
  </si>
  <si>
    <t xml:space="preserve">SUSPENDER na admissão UTI; retomar só ambulatorialmente</t>
  </si>
  <si>
    <t xml:space="preserve">Alopurinol</t>
  </si>
  <si>
    <t xml:space="preserve">Gota, hiperuricemia, profilaxia tumor lysis</t>
  </si>
  <si>
    <t xml:space="preserve">100–300mg/dia VO</t>
  </si>
  <si>
    <t xml:space="preserve">100mg/dia</t>
  </si>
  <si>
    <t xml:space="preserve">50–100mg q48h</t>
  </si>
  <si>
    <t xml:space="preserve">50mg q72h ou menos</t>
  </si>
  <si>
    <t xml:space="preserve">100mg pós-HD (semanal)</t>
  </si>
  <si>
    <t xml:space="preserve">Cuidado — acúmulo oxipurinol</t>
  </si>
  <si>
    <t xml:space="preserve">SJS/TEN, rash grave, mielossup</t>
  </si>
  <si>
    <t xml:space="preserve">Reação grave com ampicilina; evitar altas doses em IRC</t>
  </si>
  <si>
    <t xml:space="preserve">— NOVOS ANTICOAGULANTES ORAIS (NOACs) —</t>
  </si>
  <si>
    <t xml:space="preserve">Rivaroxabana</t>
  </si>
  <si>
    <t xml:space="preserve">FANV, TVP/TEP, SCA</t>
  </si>
  <si>
    <t xml:space="preserve">15–20mg/dia VO (com alimento)</t>
  </si>
  <si>
    <t xml:space="preserve">Cautela; ajuste conforme indicação</t>
  </si>
  <si>
    <t xml:space="preserve">15mg/dia aq (FANV), CUIDADO</t>
  </si>
  <si>
    <t xml:space="preserve">CONTRAINDICADA ClCr&lt;15</t>
  </si>
  <si>
    <t xml:space="preserve">CONTRAINDICADA (não removida)</t>
  </si>
  <si>
    <t xml:space="preserve">ClCr&lt;15 ABSOLUTA</t>
  </si>
  <si>
    <t xml:space="preserve">Sangramento maior, sem rev. ideal</t>
  </si>
  <si>
    <t xml:space="preserve">Andexanet alfa reversor; interação CYP3A4/P-gp</t>
  </si>
  <si>
    <t xml:space="preserve">Apixabana</t>
  </si>
  <si>
    <t xml:space="preserve">FANV, TVP/TEP</t>
  </si>
  <si>
    <t xml:space="preserve">5mg q12h VO (2.5mg se ≥2 critérios)</t>
  </si>
  <si>
    <t xml:space="preserve">Sem ajuste formal ClCr&gt;15</t>
  </si>
  <si>
    <t xml:space="preserve">2.5mg q12h ponderar</t>
  </si>
  <si>
    <t xml:space="preserve">Evitar ClCr&lt;15</t>
  </si>
  <si>
    <t xml:space="preserve">Sangramento maior</t>
  </si>
  <si>
    <t xml:space="preserve">Menos ajuste renal que rivarox; Andexanet alfa revisor</t>
  </si>
  <si>
    <t xml:space="preserve">Dabigatrana</t>
  </si>
  <si>
    <t xml:space="preserve">110–150mg q12h VO</t>
  </si>
  <si>
    <t xml:space="preserve">110mg q12h (ClCr&lt;50)</t>
  </si>
  <si>
    <t xml:space="preserve">75mg q12h — CUIDADO</t>
  </si>
  <si>
    <t xml:space="preserve">CONTRAINDICADA (dialisável com idarucizumab)</t>
  </si>
  <si>
    <t xml:space="preserve">Sangramento; dispepsia</t>
  </si>
  <si>
    <t xml:space="preserve">Idarucizumab reversor específico (5g EV); 80% excreção renal</t>
  </si>
  <si>
    <t xml:space="preserve">— ANALGÉSICOS / ADJUVANTES —</t>
  </si>
  <si>
    <t xml:space="preserve">Dor moderada-grave, edema agudo pulmão</t>
  </si>
  <si>
    <t xml:space="preserve">2–10mg q4h EV/SC</t>
  </si>
  <si>
    <t xml:space="preserve">2–4mg q6h</t>
  </si>
  <si>
    <t xml:space="preserve">2mg q8-12h</t>
  </si>
  <si>
    <t xml:space="preserve">EVITAR (acúmulo morfina-6-glicuronídeo)</t>
  </si>
  <si>
    <t xml:space="preserve">IRC grave: CONTRAINDICADA</t>
  </si>
  <si>
    <t xml:space="preserve">Sedação profunda, depressão resp., coma</t>
  </si>
  <si>
    <t xml:space="preserve">Prefira fentanil em IRC; M6G acumula e causa coma/depressão resp.</t>
  </si>
  <si>
    <t xml:space="preserve">Tramadol</t>
  </si>
  <si>
    <t xml:space="preserve">Dor moderada</t>
  </si>
  <si>
    <t xml:space="preserve">50–100mg q6-8h EV/VO</t>
  </si>
  <si>
    <t xml:space="preserve">100mg q12h</t>
  </si>
  <si>
    <t xml:space="preserve">50mg q12h</t>
  </si>
  <si>
    <t xml:space="preserve">Evitar (50mg q24h se necessário)</t>
  </si>
  <si>
    <t xml:space="preserve">Convulsão, serotonina, acúmulo</t>
  </si>
  <si>
    <t xml:space="preserve">Reduzir dose e intervalo; não usar em IRC grave</t>
  </si>
  <si>
    <t xml:space="preserve">Colchicina</t>
  </si>
  <si>
    <t xml:space="preserve">Gota aguda, pericardite</t>
  </si>
  <si>
    <t xml:space="preserve">0.5–1mg q8-12h VO</t>
  </si>
  <si>
    <t xml:space="preserve">0.5mg q12h</t>
  </si>
  <si>
    <t xml:space="preserve">0.5mg q24h</t>
  </si>
  <si>
    <t xml:space="preserve">0.5mg q48h ou evitar</t>
  </si>
  <si>
    <t xml:space="preserve">Miopatia grave, pancitopenia</t>
  </si>
  <si>
    <t xml:space="preserve">Toxicidade grave em IRC; interação com estatinas/claritromicina</t>
  </si>
  <si>
    <t xml:space="preserve">— ANTIVIRAIS / OUTROS —</t>
  </si>
  <si>
    <t xml:space="preserve">Influenza (H1N1, A, B)</t>
  </si>
  <si>
    <t xml:space="preserve">75mg q12h VO/SNG 5d</t>
  </si>
  <si>
    <t xml:space="preserve">Dose extra pós-HD semanal</t>
  </si>
  <si>
    <t xml:space="preserve">Nenhuma absoluta</t>
  </si>
  <si>
    <t xml:space="preserve">Náusea, vômito, psicose rara</t>
  </si>
  <si>
    <t xml:space="preserve">Iniciar em 48h; pode usar em gestantes e imunossuprimidos</t>
  </si>
  <si>
    <t xml:space="preserve">Tenofovir (TDF)</t>
  </si>
  <si>
    <t xml:space="preserve">HIV, Hepatite B</t>
  </si>
  <si>
    <t xml:space="preserve">300mg q24h VO</t>
  </si>
  <si>
    <t xml:space="preserve">300mg q72-96h</t>
  </si>
  <si>
    <t xml:space="preserve">Evitar TDF; usar TAF (menos nefrotóxico)</t>
  </si>
  <si>
    <t xml:space="preserve">300mg q7 dias</t>
  </si>
  <si>
    <t xml:space="preserve">Nefrotoxicidade acumulada</t>
  </si>
  <si>
    <t xml:space="preserve">Tubulopatia renal, sínd. Fanconi, osteopenia</t>
  </si>
  <si>
    <t xml:space="preserve">Monitorar função renal e fosfato; preferir TAF em IRC</t>
  </si>
  <si>
    <t xml:space="preserve">Baclofeno</t>
  </si>
  <si>
    <t xml:space="preserve">Espasticidade muscular</t>
  </si>
  <si>
    <t xml:space="preserve">5–25mg q8h VO</t>
  </si>
  <si>
    <t xml:space="preserve">5–10mg q8h</t>
  </si>
  <si>
    <t xml:space="preserve">5mg q12h</t>
  </si>
  <si>
    <t xml:space="preserve">5mg q24h</t>
  </si>
  <si>
    <t xml:space="preserve">5mg q48h ou dose pós-HD</t>
  </si>
  <si>
    <t xml:space="preserve">Encefalopatia, coma, depressão resp.</t>
  </si>
  <si>
    <t xml:space="preserve">Acúmulo fatal em IRC; encefalopatia por baclofeno descrita em HD</t>
  </si>
  <si>
    <t xml:space="preserve">Metoclopramida</t>
  </si>
  <si>
    <t xml:space="preserve">Gastroparesia, náusea</t>
  </si>
  <si>
    <t xml:space="preserve">10mg q8h EV/VO</t>
  </si>
  <si>
    <t xml:space="preserve">5mg q8h</t>
  </si>
  <si>
    <t xml:space="preserve">Extrapiramidalismo, tardive dyskinesia</t>
  </si>
  <si>
    <t xml:space="preserve">Evitar uso prolongado; risco SEP aumentado em IRC</t>
  </si>
  <si>
    <t xml:space="preserve">Insulina</t>
  </si>
  <si>
    <t xml:space="preserve">Hiperglicemia, CAD, hipercalemia</t>
  </si>
  <si>
    <t xml:space="preserve">Conforme protocolo</t>
  </si>
  <si>
    <t xml:space="preserve">Maior risco hipoglicemia</t>
  </si>
  <si>
    <t xml:space="preserve">⚠️ Risco hipoglicemia +++</t>
  </si>
  <si>
    <t xml:space="preserve">Reduzir dose 25-50%</t>
  </si>
  <si>
    <t xml:space="preserve">Ajustar conforme glicemias</t>
  </si>
  <si>
    <t xml:space="preserve">Hipoglicemia grave</t>
  </si>
  <si>
    <t xml:space="preserve">🔴 Insulina acumula em IRC (meia-vida aumenta) — monitorar glicemia q1-2h</t>
  </si>
  <si>
    <t xml:space="preserve">🩸 ANTICOAGULAÇÃO — PROFILAXIA, TERAPÊUTICA E REVERSÃO</t>
  </si>
  <si>
    <t xml:space="preserve">🛡️ PROFILAXIA DE TEV — UTI ADULTO</t>
  </si>
  <si>
    <t xml:space="preserve">DROGA/PRODUTO</t>
  </si>
  <si>
    <t xml:space="preserve">INDICAÇÃO</t>
  </si>
  <si>
    <t xml:space="preserve">DOSE</t>
  </si>
  <si>
    <t xml:space="preserve">ClCr 30-50</t>
  </si>
  <si>
    <t xml:space="preserve">ClCr 10-30</t>
  </si>
  <si>
    <t xml:space="preserve">HD/CRRT</t>
  </si>
  <si>
    <t xml:space="preserve">MONITORIZAÇÃO</t>
  </si>
  <si>
    <t xml:space="preserve">CONTRAINDICAÇÕES</t>
  </si>
  <si>
    <t xml:space="preserve">EA RELEVANTES</t>
  </si>
  <si>
    <t xml:space="preserve">HNF SC 5.000 UI q8-12h</t>
  </si>
  <si>
    <t xml:space="preserve">Profilaxia TEV UTI</t>
  </si>
  <si>
    <t xml:space="preserve">5000 UI SC q8h ou q12h</t>
  </si>
  <si>
    <t xml:space="preserve">Sem ajuste (HNF)</t>
  </si>
  <si>
    <t xml:space="preserve">Segura (sem acúmulo)</t>
  </si>
  <si>
    <t xml:space="preserve">TTPa não indicado rotina profilax</t>
  </si>
  <si>
    <t xml:space="preserve">HIT</t>
  </si>
  <si>
    <t xml:space="preserve">Hemorragia, HIT, plaquetopenia</t>
  </si>
  <si>
    <t xml:space="preserve">Enoxaparina 40mg SC q24h</t>
  </si>
  <si>
    <t xml:space="preserve">Profilaxia TEV (preferida)</t>
  </si>
  <si>
    <t xml:space="preserve">40mg SC q24h</t>
  </si>
  <si>
    <t xml:space="preserve">30mg SC q24h</t>
  </si>
  <si>
    <t xml:space="preserve">20mg SC q24h; monitorar anti-Xa</t>
  </si>
  <si>
    <t xml:space="preserve">Evitar; se necessário 20mg q48h</t>
  </si>
  <si>
    <t xml:space="preserve">Anti-Xa (faixa prof: 0.2–0.4)</t>
  </si>
  <si>
    <t xml:space="preserve">ClCr&lt;30, sangramento ativo</t>
  </si>
  <si>
    <t xml:space="preserve">Sangramento, HIT</t>
  </si>
  <si>
    <t xml:space="preserve">Enox 30mg q12h</t>
  </si>
  <si>
    <t xml:space="preserve">Pós-cirurgia ortopédica / trauma maior</t>
  </si>
  <si>
    <t xml:space="preserve">30mg SC q12h</t>
  </si>
  <si>
    <t xml:space="preserve">Monitorar anti-Xa</t>
  </si>
  <si>
    <t xml:space="preserve">Cautela — reduzir dose</t>
  </si>
  <si>
    <t xml:space="preserve">Anti-Xa</t>
  </si>
  <si>
    <t xml:space="preserve">ClCr&lt;30, sangramento</t>
  </si>
  <si>
    <t xml:space="preserve">Sangramento</t>
  </si>
  <si>
    <t xml:space="preserve">Fondaparinux 2.5mg SC q24h</t>
  </si>
  <si>
    <t xml:space="preserve">HIT confirmada, profilaxia alternativa</t>
  </si>
  <si>
    <t xml:space="preserve">2.5mg SC q24h</t>
  </si>
  <si>
    <t xml:space="preserve">Cautela (monitorar)</t>
  </si>
  <si>
    <t xml:space="preserve">Anti-Xa de fondaparinux</t>
  </si>
  <si>
    <t xml:space="preserve">Sangramento sem antídoto</t>
  </si>
  <si>
    <t xml:space="preserve">💉 ANTICOAGULAÇÃO PLENA — INDICAÇÕES TERAPÊUTICAS</t>
  </si>
  <si>
    <t xml:space="preserve">HNF — Infusão Contínua</t>
  </si>
  <si>
    <t xml:space="preserve">TEP/TVP aguda, SCA, valvopatia, HD</t>
  </si>
  <si>
    <t xml:space="preserve">Bolus 80UI/kg → IC 18UI/kg/h</t>
  </si>
  <si>
    <t xml:space="preserve">Sem ajuste (monitorar TTPa)</t>
  </si>
  <si>
    <t xml:space="preserve">Ajustar pela TTPa (50-70s alvo usual)</t>
  </si>
  <si>
    <t xml:space="preserve">TTPa q6h inicialmente (alvo 1.5-2.5x)</t>
  </si>
  <si>
    <t xml:space="preserve">Sangramento ativo, HIT</t>
  </si>
  <si>
    <t xml:space="preserve">HIT, sangramento, osteoporose</t>
  </si>
  <si>
    <t xml:space="preserve">Enoxaparina 1mg/kg q12h</t>
  </si>
  <si>
    <t xml:space="preserve">TVP/TEP terapêutica, SCA-NSTEMI</t>
  </si>
  <si>
    <t xml:space="preserve">1mg/kg SC q12h</t>
  </si>
  <si>
    <t xml:space="preserve">1mg/kg q24h</t>
  </si>
  <si>
    <t xml:space="preserve">Monitorar anti-Xa; ClCr&lt;30 cautela</t>
  </si>
  <si>
    <t xml:space="preserve">EVITAR; se não houver alternativa: 0.5mg/kg q24h + anti-Xa</t>
  </si>
  <si>
    <t xml:space="preserve">Anti-Xa: alvo 0.6–1.0 UI/mL (q12h)</t>
  </si>
  <si>
    <t xml:space="preserve">ClCr&lt;30 considerar HNF</t>
  </si>
  <si>
    <t xml:space="preserve">HIT, sangramento</t>
  </si>
  <si>
    <t xml:space="preserve">Varfarina</t>
  </si>
  <si>
    <t xml:space="preserve">FA crônica, valvas, TEP/TVP manutenção</t>
  </si>
  <si>
    <t xml:space="preserve">Dose individualize; inicio 5mg/dia</t>
  </si>
  <si>
    <t xml:space="preserve">Sem ajuste formal (monitorar INR)</t>
  </si>
  <si>
    <t xml:space="preserve">Cuidado hepatopatia concomit.</t>
  </si>
  <si>
    <t xml:space="preserve">INR pode ser instável — monitorar</t>
  </si>
  <si>
    <t xml:space="preserve">INR — alvo 2–3 (2.5–3.5 valvas)</t>
  </si>
  <si>
    <t xml:space="preserve">Sangramento ativo, gestação</t>
  </si>
  <si>
    <t xml:space="preserve">Sangramento, interações extensas, necrose cutânea</t>
  </si>
  <si>
    <t xml:space="preserve">Argatrobana EV</t>
  </si>
  <si>
    <t xml:space="preserve">HIT comprovada, ECMO</t>
  </si>
  <si>
    <t xml:space="preserve">2 mcg/kg/min IC (sem bolus)</t>
  </si>
  <si>
    <t xml:space="preserve">Ajustar por TTPa</t>
  </si>
  <si>
    <t xml:space="preserve">Ajustar (eliminação hepática)</t>
  </si>
  <si>
    <t xml:space="preserve">0.5 mcg/kg/min (hepatopatia)</t>
  </si>
  <si>
    <t xml:space="preserve">0.5 mcg/kg/min; segura (excreção hepática)</t>
  </si>
  <si>
    <t xml:space="preserve">TTPa q2h até alvo, depois q4h; alvo 1.5-3x basal</t>
  </si>
  <si>
    <t xml:space="preserve">Sangramento ativo</t>
  </si>
  <si>
    <t xml:space="preserve">Sangramento; monitorar TTPa rigoroso</t>
  </si>
  <si>
    <t xml:space="preserve">🔄 REVERSÃO — ANTÍDOTOS</t>
  </si>
  <si>
    <t xml:space="preserve">Protamina</t>
  </si>
  <si>
    <t xml:space="preserve">Reverter HNF e enoxaparina parcial</t>
  </si>
  <si>
    <t xml:space="preserve">1mg protamina por 100 UI HNF nas últimas 2-3h</t>
  </si>
  <si>
    <t xml:space="preserve">Mesma dose</t>
  </si>
  <si>
    <t xml:space="preserve">Dose reduzida (ajuste pelo anti-Xa)</t>
  </si>
  <si>
    <t xml:space="preserve">Anti-Xa + TTPa</t>
  </si>
  <si>
    <t xml:space="preserve">Hipersensibilidade (alergia peixe)</t>
  </si>
  <si>
    <t xml:space="preserve">Hipotensão, bradicardia, anafilaxia — infundir lento</t>
  </si>
  <si>
    <t xml:space="preserve">Vitamina K (fitomenadiona)</t>
  </si>
  <si>
    <t xml:space="preserve">Reverter varfarina, coagulopatia hepatopatia</t>
  </si>
  <si>
    <t xml:space="preserve">10mg EV lento (emergência) ou VO 5-10mg</t>
  </si>
  <si>
    <t xml:space="preserve">INR em 6-8h após EV</t>
  </si>
  <si>
    <t xml:space="preserve">Hipersensibilidade</t>
  </si>
  <si>
    <t xml:space="preserve">Anafilaxia (EV rápido); resistência à varfarina por 1 semana</t>
  </si>
  <si>
    <t xml:space="preserve">Complexo Protrombínico (CCP)</t>
  </si>
  <si>
    <t xml:space="preserve">Reverter anticoag. urgência, deficiência fatores</t>
  </si>
  <si>
    <t xml:space="preserve">25-50 UI/kg EV (guiar pelo INR)</t>
  </si>
  <si>
    <t xml:space="preserve">INR antes e após</t>
  </si>
  <si>
    <t xml:space="preserve">TVP/TEP recentes (cautela TEV)</t>
  </si>
  <si>
    <t xml:space="preserve">Trombose, CIVD; não usar sem indicação precisa</t>
  </si>
  <si>
    <t xml:space="preserve">Plasma Fresco Congelado (PFC)</t>
  </si>
  <si>
    <t xml:space="preserve">Coagulopatia grave, pré-procedimento urgente</t>
  </si>
  <si>
    <t xml:space="preserve">10–15 mL/kg EV</t>
  </si>
  <si>
    <t xml:space="preserve">Cuidado com sobrecarga volêmica</t>
  </si>
  <si>
    <t xml:space="preserve">TP/TTPA/INR antes-após</t>
  </si>
  <si>
    <t xml:space="preserve">Sobrecarga volêmica, TRALI</t>
  </si>
  <si>
    <t xml:space="preserve">Repor fibrinogênio com crioprecipitado se &lt;150</t>
  </si>
  <si>
    <t xml:space="preserve">Idarucizumabe (Praxbind)</t>
  </si>
  <si>
    <t xml:space="preserve">Reverter dabigatrana — emergência/cirurgia</t>
  </si>
  <si>
    <t xml:space="preserve">5g EV (2 frascos de 2.5g) bolus</t>
  </si>
  <si>
    <t xml:space="preserve">Seguro (não renal)</t>
  </si>
  <si>
    <t xml:space="preserve">Seguro em HD</t>
  </si>
  <si>
    <t xml:space="preserve">Tempo de coagulação dabigatrana</t>
  </si>
  <si>
    <t xml:space="preserve">Nenhuma absoluta em urgência</t>
  </si>
  <si>
    <t xml:space="preserve">Trombose (efeito de rebote); disponibilidade limitada</t>
  </si>
  <si>
    <t xml:space="preserve">Andexanet alfa</t>
  </si>
  <si>
    <t xml:space="preserve">Reverter apixabana/rivaroxabana</t>
  </si>
  <si>
    <t xml:space="preserve">Baixa dose: 400mg bolus+480mg IC 2h | Alta: 800mg+960mg</t>
  </si>
  <si>
    <t xml:space="preserve">Seguro</t>
  </si>
  <si>
    <t xml:space="preserve">Anti-Xa específico</t>
  </si>
  <si>
    <t xml:space="preserve">TVP/TEP recentíssimas (cautela)</t>
  </si>
  <si>
    <t xml:space="preserve">Trombose rebote; custo muito elevado; disponibilidade limitada no BR</t>
  </si>
  <si>
    <t xml:space="preserve">Crioprecipitado</t>
  </si>
  <si>
    <t xml:space="preserve">Hipofibrinogenemia, hemofilia A, doença von Will.</t>
  </si>
  <si>
    <t xml:space="preserve">1-2 unidades/10kg EV</t>
  </si>
  <si>
    <t xml:space="preserve">Fibrinogênio alvo &gt;150 mg/dL</t>
  </si>
  <si>
    <t xml:space="preserve">Sobrecarga transfusional</t>
  </si>
  <si>
    <t xml:space="preserve">Fibrinogênio, fator VIII, XIII, vWF; ABO compatível</t>
  </si>
  <si>
    <t xml:space="preserve">Concentrado de Fibrinogênio</t>
  </si>
  <si>
    <t xml:space="preserve">Hipofibrinogenemia grave (hemorragia, trauma)</t>
  </si>
  <si>
    <t xml:space="preserve">30-70 mg/kg EV (alvo fibrinogen &gt;150)</t>
  </si>
  <si>
    <t xml:space="preserve">Fibrinogênio pré-pós</t>
  </si>
  <si>
    <t xml:space="preserve">Trombose</t>
  </si>
  <si>
    <t xml:space="preserve">Mais concentrado que crioprecipitado; preferido em cirurgia cardiovascular</t>
  </si>
  <si>
    <t xml:space="preserve">🚫 CONTRAINDICAÇÕES GERAIS À ANTICOAGULAÇÃO (avaliar risco-benefício individual)</t>
  </si>
  <si>
    <t xml:space="preserve">  🔴  Sangramento ativo em curso (hemorragia intracraniana, GI, pulmonar ativa)</t>
  </si>
  <si>
    <t xml:space="preserve">  🔴  Plaquetopenia grave (&lt;50.000 para anticoag. plena; &lt;20.000 para profilaxia)</t>
  </si>
  <si>
    <t xml:space="preserve">  🔴  HIT suspeita/confirmada — PARAR HEPARINA (HNF e HBPM); usar argatrobana</t>
  </si>
  <si>
    <t xml:space="preserve">  🔴  Neurocirurgia recente (&lt; 24-72h conforme sangramento)</t>
  </si>
  <si>
    <t xml:space="preserve">  🔴  Hemorragia subaracnoidea (HSA) recente — contraindicação relativa (avaliar)</t>
  </si>
  <si>
    <t xml:space="preserve">  🔴  Hemorragia intracerebral (HIC) — geralmente contraindicada nas primeiras 72h</t>
  </si>
  <si>
    <t xml:space="preserve">  🔴  Coagulopatia grave não corrigida (INR &gt; 2.5 para início sem controle)</t>
  </si>
  <si>
    <t xml:space="preserve">  🔴  Procedimento invasivo iminente de alto risco (definir janela de pausa)</t>
  </si>
  <si>
    <t xml:space="preserve">  🔴  Clearance muito reduzido (ClCr &lt; 15–30 dependendo da droga — ver tabela acima)</t>
  </si>
  <si>
    <t xml:space="preserve">  🔴  Alergia a heparina ou derivados (histórico de anafilaxia confirmada)</t>
  </si>
  <si>
    <t xml:space="preserve">🫁 VENTILAÇÃO MECÂNICA — MODOS, PARÂMETROS INICIAIS E CALCULADORAS</t>
  </si>
  <si>
    <t xml:space="preserve">📟 MODOS VENTILATÓRIOS — PARÂMETROS E INDICAÇÕES</t>
  </si>
  <si>
    <t xml:space="preserve">MODO</t>
  </si>
  <si>
    <t xml:space="preserve">PARÂMETROS INICIAIS</t>
  </si>
  <si>
    <t xml:space="preserve">PEEP/FiO2</t>
  </si>
  <si>
    <t xml:space="preserve">LIMITES SEGURANÇA</t>
  </si>
  <si>
    <t xml:space="preserve">FREQUÊNCIA/RELAÇÃO I:E</t>
  </si>
  <si>
    <t xml:space="preserve">CUIDADOS/INDICAÇÕES</t>
  </si>
  <si>
    <t xml:space="preserve">VCV (Volume Controlado)</t>
  </si>
  <si>
    <t xml:space="preserve">6-8 mL/kg PP SDRA; 8-10 ML/kg outros</t>
  </si>
  <si>
    <t xml:space="preserve">PEEP 5-8cmH2O</t>
  </si>
  <si>
    <t xml:space="preserve">Pplatô &lt; 30; DP &lt; 15</t>
  </si>
  <si>
    <t xml:space="preserve">FR 12-20 ipm; I:E 1:2</t>
  </si>
  <si>
    <t xml:space="preserve">Garantia de volume; monitorar pressão</t>
  </si>
  <si>
    <t xml:space="preserve">PCV (Pressão Controlada)</t>
  </si>
  <si>
    <t xml:space="preserve">Monitorar VC gerado; ajustar PC e PEEP</t>
  </si>
  <si>
    <t xml:space="preserve">PEEP 5-10cmH2O</t>
  </si>
  <si>
    <t xml:space="preserve">Manter DP &lt; 15</t>
  </si>
  <si>
    <t xml:space="preserve">FR 12-20 ipm</t>
  </si>
  <si>
    <t xml:space="preserve">Fluxo variável; risco hiperventilação</t>
  </si>
  <si>
    <t xml:space="preserve">PSV (Pressão Suporte)</t>
  </si>
  <si>
    <t xml:space="preserve">Desmame; PSV 8-15 cmH2O inicial</t>
  </si>
  <si>
    <t xml:space="preserve">PEEP 5cmH2O</t>
  </si>
  <si>
    <t xml:space="preserve">Vc 6-8 mL/kg PP ideal</t>
  </si>
  <si>
    <t xml:space="preserve">FR espontânea &lt;35ipm</t>
  </si>
  <si>
    <t xml:space="preserve">Paciente com drive; monitorar assincronia</t>
  </si>
  <si>
    <t xml:space="preserve">VNI (Pressão Positiva Não-Invasiva)</t>
  </si>
  <si>
    <t xml:space="preserve">IPAP 10-20 / EPAP 5-10 cmH2O</t>
  </si>
  <si>
    <t xml:space="preserve">SpO2 &gt; 92%</t>
  </si>
  <si>
    <t xml:space="preserve">FR &lt; 30; pH &gt; 7.30</t>
  </si>
  <si>
    <t xml:space="preserve">DPOC exacerbado, EPA, s.obesity hypovent.</t>
  </si>
  <si>
    <t xml:space="preserve">Contraindicar: rebaixamento, vômito, trauma face</t>
  </si>
  <si>
    <t xml:space="preserve">CNAF (Cânula Nasal Alta Fluxo)</t>
  </si>
  <si>
    <t xml:space="preserve">Fluxo 30-60 L/min; FiO2 ajustar</t>
  </si>
  <si>
    <t xml:space="preserve">SpO2 ≥ 92-94%</t>
  </si>
  <si>
    <t xml:space="preserve">Reavalar em 1-2h</t>
  </si>
  <si>
    <t xml:space="preserve">PaO2/FiO2 monitorar</t>
  </si>
  <si>
    <t xml:space="preserve">Índice ROX ≥ 4.88 após 2-12h = sucesso</t>
  </si>
  <si>
    <t xml:space="preserve">APRV (Airway Pressure Release)</t>
  </si>
  <si>
    <t xml:space="preserve">P_high 25-35 cmH2O; t_high 4-6s; P_low 0; t_low 0.4-0.8s</t>
  </si>
  <si>
    <t xml:space="preserve">SDRA grave refratário</t>
  </si>
  <si>
    <t xml:space="preserve">Recrutamento alveolar máximo</t>
  </si>
  <si>
    <t xml:space="preserve">Apenas em centros especializados</t>
  </si>
  <si>
    <t xml:space="preserve">Monitorar auto-PEEP; assincronia</t>
  </si>
  <si>
    <t xml:space="preserve">🔴 SDRA — CRITÉRIOS BERLIN E VENTILAÇÃO PROTETORA (ARDSNet + PROSEVA)</t>
  </si>
  <si>
    <t xml:space="preserve">GRAU</t>
  </si>
  <si>
    <t xml:space="preserve">CRITÉRIO P/F</t>
  </si>
  <si>
    <t xml:space="preserve">VENTILAÇÃO SUGERIDA</t>
  </si>
  <si>
    <t xml:space="preserve">MANOBRAS ADICIONAIS</t>
  </si>
  <si>
    <t xml:space="preserve">Leve</t>
  </si>
  <si>
    <t xml:space="preserve">200 &lt; P/F ≤ 300 mmHg (PEEP ≥ 5)</t>
  </si>
  <si>
    <t xml:space="preserve">PEEP 5-8; Vc 6-8mL/kg; Pplatô&lt;30; DP&lt;15</t>
  </si>
  <si>
    <t xml:space="preserve">Posição prona se P/F &lt; 150</t>
  </si>
  <si>
    <t xml:space="preserve">Moderada</t>
  </si>
  <si>
    <t xml:space="preserve">100 &lt; P/F ≤ 200 mmHg (PEEP ≥ 5)</t>
  </si>
  <si>
    <t xml:space="preserve">PEEP 8-12+; Vc 6mL/kg PP; Pplatô&lt;30; DP&lt;15</t>
  </si>
  <si>
    <t xml:space="preserve">Considerar prona; bloqueio NM 48h</t>
  </si>
  <si>
    <t xml:space="preserve">Grave</t>
  </si>
  <si>
    <t xml:space="preserve">P/F ≤ 100 mmHg (PEEP ≥ 5)</t>
  </si>
  <si>
    <t xml:space="preserve">PEEP 12-18+; Vc 4-6mL/kg PP; Pplatô&lt;30; DP&lt;15</t>
  </si>
  <si>
    <t xml:space="preserve">🔴 PRONA 16h/dia (PROSEVA) + Cisatracúrio 48h; ECMO se refratário</t>
  </si>
  <si>
    <t xml:space="preserve">🧮 CALCULADORAS VENTILATÓRIAS — PREENCHER CAMPOS AZUIS</t>
  </si>
  <si>
    <t xml:space="preserve">PESO PREDITO MASCULINO (kg)</t>
  </si>
  <si>
    <t xml:space="preserve">Sexo Masc. — Altura (cm):</t>
  </si>
  <si>
    <t xml:space="preserve">PESO PREDITO FEMININO (kg)</t>
  </si>
  <si>
    <t xml:space="preserve">Sexo Fem. — Altura (cm):</t>
  </si>
  <si>
    <t xml:space="preserve">VC MÍNIMO 4mL/kg (mL)</t>
  </si>
  <si>
    <t xml:space="preserve">Peso predito (kg):</t>
  </si>
  <si>
    <t xml:space="preserve">VC MÁXIMO 8mL/kg (mL)</t>
  </si>
  <si>
    <t xml:space="preserve">DRIVING PRESSURE (cmH2O)</t>
  </si>
  <si>
    <t xml:space="preserve">Pplatô - PEEP total:</t>
  </si>
  <si>
    <t xml:space="preserve">COMPLACÊNCIA ESTÁTICA (mL/cmH2O)</t>
  </si>
  <si>
    <t xml:space="preserve">Vc (mL) / (Pplatô - PEEP total):</t>
  </si>
  <si>
    <t xml:space="preserve">PaO2/FiO2 (P/F ratio)</t>
  </si>
  <si>
    <t xml:space="preserve">PaO2 (mmHg) / FiO2 (0.21 a 1.0):</t>
  </si>
  <si>
    <t xml:space="preserve">CLASSIFICAÇÃO SDRA (P/F ratio)</t>
  </si>
  <si>
    <t xml:space="preserve">Inserir P/F ratio calculado:</t>
  </si>
  <si>
    <t xml:space="preserve">⚗️  DISTÚRBIOS ÁCIDO-BASE — INTERPRETAÇÃO E COMPENSAÇÕES ESPERADAS</t>
  </si>
  <si>
    <t xml:space="preserve">DIST.</t>
  </si>
  <si>
    <t xml:space="preserve">pH</t>
  </si>
  <si>
    <t xml:space="preserve">HCO3</t>
  </si>
  <si>
    <t xml:space="preserve">pCO2</t>
  </si>
  <si>
    <t xml:space="preserve">COMPENSAÇÃO ESPERADA</t>
  </si>
  <si>
    <t xml:space="preserve">INTERPRETAÇÃO / FÓRMULA</t>
  </si>
  <si>
    <t xml:space="preserve">Acidose Metabólica</t>
  </si>
  <si>
    <t xml:space="preserve">&lt; 7.35</t>
  </si>
  <si>
    <t xml:space="preserve">&lt; 22</t>
  </si>
  <si>
    <t xml:space="preserve">Baixa (compensação)</t>
  </si>
  <si>
    <t xml:space="preserve">PCO2 esperada = 1.5 × HCO3 + 8 (± 2) — Regra de Winter</t>
  </si>
  <si>
    <t xml:space="preserve">AG = Na - (Cl + HCO3); Normal &lt; 12. AG ↑: MUDPILES. AG normal: perdas GI/renal</t>
  </si>
  <si>
    <t xml:space="preserve">Alcalose Metabólica</t>
  </si>
  <si>
    <t xml:space="preserve">&gt; 7.45</t>
  </si>
  <si>
    <t xml:space="preserve">&gt; 26</t>
  </si>
  <si>
    <t xml:space="preserve">Alta (compensação)</t>
  </si>
  <si>
    <t xml:space="preserve">PCO2 esperada = 0.7 × HCO3 + 21 (± 2)</t>
  </si>
  <si>
    <t xml:space="preserve">Causa: vômitos, diuréticos, hipocalemia. Cloro urinário &lt; 25 = responsiva a SF</t>
  </si>
  <si>
    <t xml:space="preserve">Acidose Respiratória</t>
  </si>
  <si>
    <t xml:space="preserve">Normal→alta</t>
  </si>
  <si>
    <t xml:space="preserve">&gt; 45</t>
  </si>
  <si>
    <t xml:space="preserve">Aguda: HCO3 ↑ 1 por cada PCO2 ↑ 10. Crônica: HCO3 ↑ 3.5 por cada PCO2 ↑ 10</t>
  </si>
  <si>
    <t xml:space="preserve">DPOC, hipoventilação, apneia, sedação, SDRA</t>
  </si>
  <si>
    <t xml:space="preserve">Alcalose Respiratória</t>
  </si>
  <si>
    <t xml:space="preserve">Normal→baixa</t>
  </si>
  <si>
    <t xml:space="preserve">&lt; 35</t>
  </si>
  <si>
    <t xml:space="preserve">Aguda: HCO3 ↓ 2 por cada PCO2 ↓ 10. Crônica: HCO3 ↓ 5 por cada PCO2 ↓ 10</t>
  </si>
  <si>
    <t xml:space="preserve">Hiperventilação, sepse precoce, altitude, ICC, TEP</t>
  </si>
  <si>
    <t xml:space="preserve">Ânion Gap (AG)</t>
  </si>
  <si>
    <t xml:space="preserve">AG = Na⁺ - (Cl⁻ + HCO3⁻)</t>
  </si>
  <si>
    <t xml:space="preserve">Normal: 8-12 mEq/L. Se albumina baixa: corrigir +2.5 por albumina 1 g/dL abaixo de 4</t>
  </si>
  <si>
    <t xml:space="preserve">Delta-Delta Gap</t>
  </si>
  <si>
    <t xml:space="preserve">Δ-Δ = (AG - 12) / (24 - HCO3)</t>
  </si>
  <si>
    <t xml:space="preserve">&lt; 1: acidose mista AG+normal | 1-2: AG puro | &gt; 2: alcalose metabólica oculta</t>
  </si>
  <si>
    <t xml:space="preserve">Sódio Corrigido (hiperglicemia)</t>
  </si>
  <si>
    <t xml:space="preserve">Na corr = Na medido + 2.4 × (glicose - 100) / 100</t>
  </si>
  <si>
    <t xml:space="preserve">Usar glicose em mg/dL; importante na CAD</t>
  </si>
  <si>
    <t xml:space="preserve">Osmolaridade Plasmática</t>
  </si>
  <si>
    <t xml:space="preserve">Osm = 2×Na + Glicose/18 + Ureia/6</t>
  </si>
  <si>
    <t xml:space="preserve">Normal: 285-295 mOsm/L. GAP osmolar &gt; 10 = suspeitar álcool, metanol, etilenoglicol</t>
  </si>
  <si>
    <t xml:space="preserve">🦠 SEPSE, CHOQUE SÉPTICO E TIPOS DE CHOQUE — BUNDLE E MANEJO</t>
  </si>
  <si>
    <t xml:space="preserve">⏰ HORA 1 — BUNDLE HORA 1 SSC 2018 (CHOQUE SÉPTICO CONFIRMADO)</t>
  </si>
  <si>
    <t xml:space="preserve">1️⃣</t>
  </si>
  <si>
    <t xml:space="preserve">Lactato sérico</t>
  </si>
  <si>
    <t xml:space="preserve">Coletar imediatamente. Meta: se &gt; 2 mmol/L → repetir em 2h para clearance ≥ 10%</t>
  </si>
  <si>
    <t xml:space="preserve">2️⃣</t>
  </si>
  <si>
    <t xml:space="preserve">Hemoculturas x2</t>
  </si>
  <si>
    <t xml:space="preserve">2 pares (aeróbio + anaeróbio) ANTES do antibiótico; sem retardar ATB &gt; 45min por culturas</t>
  </si>
  <si>
    <t xml:space="preserve">3️⃣</t>
  </si>
  <si>
    <t xml:space="preserve">Antibiótico de largo espectro</t>
  </si>
  <si>
    <t xml:space="preserve">Iniciar em ≤ 1h após reconhecimento. Cobertura para foco suspeito. ESCALADA → DESCALONAMENTO precoce</t>
  </si>
  <si>
    <t xml:space="preserve">4️⃣</t>
  </si>
  <si>
    <t xml:space="preserve">Volume cristaloide</t>
  </si>
  <si>
    <t xml:space="preserve">30 mL/kg SF 0.9% ou RL em 3h se hipoperfusão / lactato ≥ 4 mmol/L. Reavaliar com parâmetros dinâmicos</t>
  </si>
  <si>
    <t xml:space="preserve">5️⃣</t>
  </si>
  <si>
    <t xml:space="preserve">Vasopressor se PAM &lt; 65 mmHg</t>
  </si>
  <si>
    <t xml:space="preserve">NORADRENALINA primeira escolha. Iniciar se PAM &lt; 65 após volume ou hipotensão grave. Meta PAM ≥ 65 mmHg (75 em HIC/AVCi)</t>
  </si>
  <si>
    <t xml:space="preserve">🔄 PRÓXIMAS 3-6H — RESSUSCITAÇÃO E OTIMIZAÇÃO</t>
  </si>
  <si>
    <t xml:space="preserve">6️⃣</t>
  </si>
  <si>
    <t xml:space="preserve">Avaliação hemodinâmica</t>
  </si>
  <si>
    <t xml:space="preserve">Parâmetros dinâmicos: PLR (passive leg raising), VPP &gt; 12% → responsivo. Ecocardiograma point-of-care</t>
  </si>
  <si>
    <t xml:space="preserve">7️⃣</t>
  </si>
  <si>
    <t xml:space="preserve">Clearance de lactato</t>
  </si>
  <si>
    <t xml:space="preserve">Repetir lactato em 2h. Clearance ≥ 10% é meta de ressuscitação. Lactato &gt; 4 após volume → choque grave</t>
  </si>
  <si>
    <t xml:space="preserve">8️⃣</t>
  </si>
  <si>
    <t xml:space="preserve">Controle de foco</t>
  </si>
  <si>
    <t xml:space="preserve">Drenar coleções, remover cateter infectado, cirurgia se indicada. Dentro de 6-12h para choque séptico de fonte controlável</t>
  </si>
  <si>
    <t xml:space="preserve">9️⃣</t>
  </si>
  <si>
    <t xml:space="preserve">Adicionar 0.03 U/min se NOR &gt; 0.25 mcg/kg/min para poupar catecolamina ou controle de FC</t>
  </si>
  <si>
    <t xml:space="preserve">🔟</t>
  </si>
  <si>
    <t xml:space="preserve">Hidrocortisona</t>
  </si>
  <si>
    <t xml:space="preserve">200mg/dia IC ou 50mg q6h EV se NOR ≥ 0.25 mcg/kg/min por &gt; 4h sem resposta. ADRENAL trial: sem diferença mortalidade mas desmame mais rápido</t>
  </si>
  <si>
    <t xml:space="preserve">🚨 TIPOS DE CHOQUE — DIAGNÓSTICO DIFERENCIAL E TRATAMENTO</t>
  </si>
  <si>
    <t xml:space="preserve">TIPO</t>
  </si>
  <si>
    <t xml:space="preserve">MECANISMO</t>
  </si>
  <si>
    <t xml:space="preserve">SINAIS CLÍNICOS</t>
  </si>
  <si>
    <t xml:space="preserve">SVcO2/PAD</t>
  </si>
  <si>
    <t xml:space="preserve">DVA 1ª ESCOLHA</t>
  </si>
  <si>
    <t xml:space="preserve">TRATAMENTO ESPECÍFICO</t>
  </si>
  <si>
    <t xml:space="preserve">ARMADILHAS</t>
  </si>
  <si>
    <t xml:space="preserve">SÉPTICO / DISTRIBUTIVO</t>
  </si>
  <si>
    <t xml:space="preserve">Vasoplegia + disfunção orgânica</t>
  </si>
  <si>
    <t xml:space="preserve">Pele quente, PP amplo, febre, hipotensão</t>
  </si>
  <si>
    <t xml:space="preserve">SvcO2 normal/alta; PAD baixa</t>
  </si>
  <si>
    <t xml:space="preserve">🔴 Controle foco + ATB precoce + volume</t>
  </si>
  <si>
    <t xml:space="preserve">Não retardar ATB por culturas; monitorar lactato</t>
  </si>
  <si>
    <t xml:space="preserve">CARDIOGÊNICO</t>
  </si>
  <si>
    <t xml:space="preserve">Falência de bomba (IAM, miocardite, valva)</t>
  </si>
  <si>
    <t xml:space="preserve">Extremidades frias, B3, ortopneia, ingurgitamento JV</t>
  </si>
  <si>
    <t xml:space="preserve">SvcO2 baixa; PAD alta; PVC alta</t>
  </si>
  <si>
    <t xml:space="preserve">Dobutamina + Noradrenalina se PAM&lt;65</t>
  </si>
  <si>
    <t xml:space="preserve">🔴 Revascularização urgente se IAM; IABP/ECMO se refratário</t>
  </si>
  <si>
    <t xml:space="preserve">Volume pode piorar — cuidado com reposição excessiva</t>
  </si>
  <si>
    <t xml:space="preserve">HIPOVOLÊMICO</t>
  </si>
  <si>
    <t xml:space="preserve">Perda de volume (hemorragia, desidratação)</t>
  </si>
  <si>
    <t xml:space="preserve">Mucosas secas, turgência ↓, PLR+, Hto altera</t>
  </si>
  <si>
    <t xml:space="preserve">SvcO2 baixa; PAD baixa; PVC baixa</t>
  </si>
  <si>
    <t xml:space="preserve">Noradrenalina temporário + VOLUME</t>
  </si>
  <si>
    <t xml:space="preserve">🔴 Hemotransfusão se Hb&lt;7 (8 em coronariopata); cristaloide; cirurgia se sangramento ativo</t>
  </si>
  <si>
    <t xml:space="preserve">Identificar e controlar foco de sangramento</t>
  </si>
  <si>
    <t xml:space="preserve">OBSTRUTIVO</t>
  </si>
  <si>
    <t xml:space="preserve">TEP maciço, tamponamento, pneumotórax HT</t>
  </si>
  <si>
    <t xml:space="preserve">Ingurgitamento JV, pulsos paradoxal (tamponamento), timpanismo (PNX)</t>
  </si>
  <si>
    <t xml:space="preserve">SvcO2 baixa; PAD alta (TEP); PAD baixa (PNX)</t>
  </si>
  <si>
    <t xml:space="preserve">Noradrenalina (temporário)</t>
  </si>
  <si>
    <t xml:space="preserve">🔴 PNX HT: agulha + dreno IMEDIATO; Tamponamento: pericardiocentese; TEP: trombólise ou embolectomia</t>
  </si>
  <si>
    <t xml:space="preserve">PNX hipertensivo = diagnóstico clínico → agulha imediata sem esperar RX!</t>
  </si>
  <si>
    <t xml:space="preserve">NEURОГÊNICO</t>
  </si>
  <si>
    <t xml:space="preserve">Lesão SNC → perda tônus vascular</t>
  </si>
  <si>
    <t xml:space="preserve">Bradicardia + hipotensão, pele quente, trauma raquimedular</t>
  </si>
  <si>
    <t xml:space="preserve">SvcO2 variável; PAD baixa</t>
  </si>
  <si>
    <t xml:space="preserve">Noradrenalina + Vasopressina</t>
  </si>
  <si>
    <t xml:space="preserve">Imobilização coluna; metilprednisolona apenas protocolo específico; TC/RNM</t>
  </si>
  <si>
    <t xml:space="preserve">Bradicardia paradoxal é pista diagnóstica; excluir outros tipos</t>
  </si>
  <si>
    <t xml:space="preserve">ANAFILÁTICO</t>
  </si>
  <si>
    <t xml:space="preserve">Vasoplegia IgE-mediada; broncoespasmo</t>
  </si>
  <si>
    <t xml:space="preserve">Urticária, angioedema, estridor, hipotensão pós-exposição</t>
  </si>
  <si>
    <t xml:space="preserve">🔴 ADRENALINA 0.3-0.5mg IM coxa (1ª escolha ABSOLUTA)</t>
  </si>
  <si>
    <t xml:space="preserve">Adrenalina IM imediata; posição supina; O2; corticoide + anti-H1/H2; volume; preparar IOT</t>
  </si>
  <si>
    <t xml:space="preserve">NÃO retardar adrenalina; corticoide não é substituto da adrenalina</t>
  </si>
  <si>
    <t xml:space="preserve">📊 qSOFA e SOFA — TRIAGEM E DEFINIÇÃO DE SEPSE (Sepsis-3)</t>
  </si>
  <si>
    <t xml:space="preserve">qSOFA ≥ 2 = Suspeita de Sepse (triagem fora UTI)</t>
  </si>
  <si>
    <t xml:space="preserve">Critério qSOFA</t>
  </si>
  <si>
    <t xml:space="preserve">Limiar</t>
  </si>
  <si>
    <t xml:space="preserve">FR ≥ 22 ipm</t>
  </si>
  <si>
    <t xml:space="preserve">1 ponto</t>
  </si>
  <si>
    <t xml:space="preserve">≥ 22/min</t>
  </si>
  <si>
    <t xml:space="preserve">Alteração de consciência (Glasgow &lt; 15)</t>
  </si>
  <si>
    <t xml:space="preserve">GCS ≤ 14</t>
  </si>
  <si>
    <t xml:space="preserve">PAS ≤ 100 mmHg</t>
  </si>
  <si>
    <t xml:space="preserve">≤ 100 mmHg</t>
  </si>
  <si>
    <t xml:space="preserve">TOTAL qSOFA:</t>
  </si>
  <si>
    <t xml:space="preserve">___/3</t>
  </si>
  <si>
    <t xml:space="preserve">Score ≥ 2 → disfunção orgânica suspeita</t>
  </si>
  <si>
    <t xml:space="preserve">SOFA ≥ 2 = Disfunção Orgânica (Sepse = infecção + SOFA ≥ 2)</t>
  </si>
  <si>
    <t xml:space="preserve">Órgão</t>
  </si>
  <si>
    <t xml:space="preserve">Respiratório</t>
  </si>
  <si>
    <t xml:space="preserve">PaO2/FiO2</t>
  </si>
  <si>
    <t xml:space="preserve">&gt; 400: 0 | 301-400: 1 | 201-300: 2 | 101-200: 3 | ≤ 100: 4</t>
  </si>
  <si>
    <t xml:space="preserve">Coagulação</t>
  </si>
  <si>
    <t xml:space="preserve">&gt; 150: 0 | 101-150: 1 | 51-100: 2 | 21-50: 3 | &lt; 20: 4</t>
  </si>
  <si>
    <t xml:space="preserve">Hepático</t>
  </si>
  <si>
    <t xml:space="preserve">&lt; 1.2: 0 | 1.2-1.9: 1 | 2-5.9: 2 | 6-11.9: 3 | ≥ 12: 4</t>
  </si>
  <si>
    <t xml:space="preserve">Cardiovascular</t>
  </si>
  <si>
    <t xml:space="preserve">PAM / DVA</t>
  </si>
  <si>
    <t xml:space="preserve">PAM ≥ 70: 0 | PAM &lt; 70: 1 | NOR ≤ 0.1: 2 | NOR &gt; 0.1: 3 | Adr &gt; 0.1: 4</t>
  </si>
  <si>
    <t xml:space="preserve">Neurológico</t>
  </si>
  <si>
    <t xml:space="preserve">Glasgow</t>
  </si>
  <si>
    <t xml:space="preserve">15: 0 | 13-14: 1 | 10-12: 2 | 6-9: 3 | &lt; 6: 4</t>
  </si>
  <si>
    <t xml:space="preserve">Renal</t>
  </si>
  <si>
    <t xml:space="preserve">&lt; 1.2: 0 | 1.2-1.9: 1 | 2-3.4: 2 | 3.5-4.9 ou DU&lt;500mL: 3 | ≥ 5 ou DU&lt;200: 4</t>
  </si>
  <si>
    <t xml:space="preserve">✅ CHECKLIST DIÁRIO UTI — BUNDLE DE QUALIDADE ASSISTENCIAL</t>
  </si>
  <si>
    <t xml:space="preserve">Data: 19/05/2026 | Leito: _____ | Médico: ________________________ | Turno: ☀️ Diurno  🌙 Noturno</t>
  </si>
  <si>
    <t xml:space="preserve">ITEM DE CHECKLIST</t>
  </si>
  <si>
    <t xml:space="preserve">OBSERVAÇÃO/RESULTADO</t>
  </si>
  <si>
    <t xml:space="preserve">RESPONSÁVEL</t>
  </si>
  <si>
    <t xml:space="preserve">▶  ANALGESIA E SEDAÇÃO</t>
  </si>
  <si>
    <t xml:space="preserve">Dor avaliada? (CPOT/BPS ≤ 2 / NRS ≤ 3)</t>
  </si>
  <si>
    <t xml:space="preserve">Sedação no RASS alvo prescrito?</t>
  </si>
  <si>
    <t xml:space="preserve">CAM-ICU realizado? (Delirium presente/ausente?)</t>
  </si>
  <si>
    <t xml:space="preserve">Medidas não farmacológicas para delirium? (luz, sono, orientação)</t>
  </si>
  <si>
    <t xml:space="preserve">▶  VENTILAÇÃO MECÂNICA</t>
  </si>
  <si>
    <t xml:space="preserve">Cabeceira elevada 30-45°?</t>
  </si>
  <si>
    <t xml:space="preserve">Cuff do TOT/TQT verificado (20-30 cmH2O)?</t>
  </si>
  <si>
    <t xml:space="preserve">Higiene oral com clorexidina 0.12%?</t>
  </si>
  <si>
    <t xml:space="preserve">Candidato a SAT (Despertar Diário)?</t>
  </si>
  <si>
    <t xml:space="preserve">Candidato a SBT (Teste Resp. Espontânea)?</t>
  </si>
  <si>
    <t xml:space="preserve">Parâmetros ventilatórios revisados? (Vc, PEEP, FiO2)</t>
  </si>
  <si>
    <t xml:space="preserve">▶  SEGURANÇA E PREVENÇÃO</t>
  </si>
  <si>
    <t xml:space="preserve">Profilaxia TEV adequada? (enoxaparina/HNF/meias)</t>
  </si>
  <si>
    <t xml:space="preserve">Profilaxia úlcera de estresse? (IBP/Anti-H2 se indicado)</t>
  </si>
  <si>
    <t xml:space="preserve">Glicemia controlada (alvo 140-180 mg/dL)?</t>
  </si>
  <si>
    <t xml:space="preserve">Pele avaliada? (lesão por pressão, rash)?</t>
  </si>
  <si>
    <t xml:space="preserve">Evacuação registrada? (DU registrada?)</t>
  </si>
  <si>
    <t xml:space="preserve">Restrição hídrica ou meta de diurese?</t>
  </si>
  <si>
    <t xml:space="preserve">▶  DISPOSITIVOS INVASIVOS</t>
  </si>
  <si>
    <t xml:space="preserve">Todos os cateteres ainda indicados? (CVC, SVD, AV, SNG)</t>
  </si>
  <si>
    <t xml:space="preserve">Troca de cateter vencida ou suspeita de infecção?</t>
  </si>
  <si>
    <t xml:space="preserve">Nutrição enteral ou parenteral iniciada/ajustada?</t>
  </si>
  <si>
    <t xml:space="preserve">Meta calórica e proteica atingida? (25-30 kcal/kg; 1.2-1.5g prot/kg)</t>
  </si>
  <si>
    <t xml:space="preserve">▶  INFECÇÃO E ANTIBIÓTICOS</t>
  </si>
  <si>
    <t xml:space="preserve">Antibiótico atual revisado (indicação, dose, duração)?</t>
  </si>
  <si>
    <t xml:space="preserve">Descalonamento possível? (cultura + clínica)?</t>
  </si>
  <si>
    <t xml:space="preserve">Culturas pendentes revisadas?</t>
  </si>
  <si>
    <t xml:space="preserve">Data de término do ATB definida?</t>
  </si>
  <si>
    <t xml:space="preserve">▶  ALTA E FAMÍLIA</t>
  </si>
  <si>
    <t xml:space="preserve">Critérios de alta da UTI avaliados?</t>
  </si>
  <si>
    <t xml:space="preserve">Fisioterapia realizada ou prescrita?</t>
  </si>
  <si>
    <t xml:space="preserve">Mobilização precoce realizada?</t>
  </si>
  <si>
    <t xml:space="preserve">Família informada e atualizada?</t>
  </si>
  <si>
    <t xml:space="preserve">Metas de cuidado discutidas (se necessário)?</t>
  </si>
  <si>
    <t xml:space="preserve">Riscos das próximas 12-24h documentados?</t>
  </si>
  <si>
    <t xml:space="preserve">📊 COMPLETUDE DO CHECKLIST:</t>
  </si>
  <si>
    <t xml:space="preserve">🧮 CALCULADORAS CLÍNICAS UTI — PREENCHER CAMPOS AZUIS</t>
  </si>
  <si>
    <t xml:space="preserve">📏 IMC E PESO PREDITO</t>
  </si>
  <si>
    <t xml:space="preserve">VARIÁVEL</t>
  </si>
  <si>
    <t xml:space="preserve">ENTRADA / FÓRMULA</t>
  </si>
  <si>
    <t xml:space="preserve">INPUT</t>
  </si>
  <si>
    <t xml:space="preserve">RESULTADO / CLASSIFICAÇÃO</t>
  </si>
  <si>
    <t xml:space="preserve">NOTA</t>
  </si>
  <si>
    <t xml:space="preserve">Peso atual (kg)</t>
  </si>
  <si>
    <t xml:space="preserve">Altura (m)</t>
  </si>
  <si>
    <t xml:space="preserve">IMC (kg/m²)</t>
  </si>
  <si>
    <t xml:space="preserve">IMC = Peso/Altura²</t>
  </si>
  <si>
    <t xml:space="preserve">Peso Predito Masculino (kg)</t>
  </si>
  <si>
    <t xml:space="preserve">ARDSNet</t>
  </si>
  <si>
    <t xml:space="preserve">Peso Predito Feminino (kg)</t>
  </si>
  <si>
    <t xml:space="preserve">🫀 FUNÇÃO RENAL — COCKCROFT-GAULT</t>
  </si>
  <si>
    <t xml:space="preserve">Peso (kg)</t>
  </si>
  <si>
    <t xml:space="preserve">Creatinina sérica (mg/dL)</t>
  </si>
  <si>
    <t xml:space="preserve">Sexo (M=1; F=0.85)</t>
  </si>
  <si>
    <t xml:space="preserve">Inserir 1 ou 0.85</t>
  </si>
  <si>
    <t xml:space="preserve">Fator de correção feminino</t>
  </si>
  <si>
    <t xml:space="preserve">ClCr Cockcroft-Gault (mL/min)</t>
  </si>
  <si>
    <t xml:space="preserve">Cockcroft-Gault</t>
  </si>
  <si>
    <t xml:space="preserve">🩸 ÂNION GAP E DISTÚRBIOS METABÓLICOS</t>
  </si>
  <si>
    <t xml:space="preserve">Sódio (mEq/L)</t>
  </si>
  <si>
    <t xml:space="preserve">Cloro (mEq/L)</t>
  </si>
  <si>
    <t xml:space="preserve">Bicarbonato (mEq/L)</t>
  </si>
  <si>
    <t xml:space="preserve">Albumina (g/dL)</t>
  </si>
  <si>
    <t xml:space="preserve">Ânion Gap (mEq/L)</t>
  </si>
  <si>
    <t xml:space="preserve">Na - (Cl + HCO3)</t>
  </si>
  <si>
    <t xml:space="preserve">AG Corrigido p/ albumina</t>
  </si>
  <si>
    <t xml:space="preserve">+2.5 por cada 1g/dL abaixo de 4</t>
  </si>
  <si>
    <t xml:space="preserve">(AG-12)/(24-HCO3)</t>
  </si>
  <si>
    <t xml:space="preserve">💧 SÓDIO E OSMOLARIDADE</t>
  </si>
  <si>
    <t xml:space="preserve">Sódio medido (mEq/L)</t>
  </si>
  <si>
    <t xml:space="preserve">Glicose (mg/dL)</t>
  </si>
  <si>
    <t xml:space="preserve">Ureia (mg/dL)</t>
  </si>
  <si>
    <t xml:space="preserve">Sódio corrigido hiperglicemia</t>
  </si>
  <si>
    <t xml:space="preserve">Correção clássica</t>
  </si>
  <si>
    <t xml:space="preserve">Osmolaridade plasmática (mOsm/L)</t>
  </si>
  <si>
    <t xml:space="preserve">2×Na + Glic/18 + Ureia/6</t>
  </si>
  <si>
    <t xml:space="preserve">🦠 SEPSE — qSOFA e LACTATO</t>
  </si>
  <si>
    <t xml:space="preserve">FR (ipm)</t>
  </si>
  <si>
    <t xml:space="preserve">FR ≥ 22 = 1 ponto</t>
  </si>
  <si>
    <t xml:space="preserve">GCS &lt; 15 = 1 ponto</t>
  </si>
  <si>
    <t xml:space="preserve">PAS ≤ 100 = 1 ponto</t>
  </si>
  <si>
    <t xml:space="preserve">qSOFA TOTAL</t>
  </si>
  <si>
    <t xml:space="preserve">Score 0-3</t>
  </si>
  <si>
    <t xml:space="preserve">Lactato (mmol/L)</t>
  </si>
  <si>
    <t xml:space="preserve">Sepsis-3</t>
  </si>
  <si>
    <t xml:space="preserve">❤️ CHA2DS2-VASc (FA — RISCO EMBÓLICO)</t>
  </si>
  <si>
    <t xml:space="preserve">ICC/FEVE &lt; 40% (+1)</t>
  </si>
  <si>
    <t xml:space="preserve">HAS (+1)</t>
  </si>
  <si>
    <t xml:space="preserve">Idade ≥ 75 anos (+2)</t>
  </si>
  <si>
    <t xml:space="preserve">Diabetes (+1)</t>
  </si>
  <si>
    <t xml:space="preserve">AVC/AIT/TE prévio (+2)</t>
  </si>
  <si>
    <t xml:space="preserve">Doença vascular (IAM, DAP, placa aórtica) (+1)</t>
  </si>
  <si>
    <t xml:space="preserve">Idade 65-74 anos (+1)</t>
  </si>
  <si>
    <t xml:space="preserve">Sexo feminino (+1)</t>
  </si>
  <si>
    <t xml:space="preserve">CHA2DS2-VASc TOTAL</t>
  </si>
  <si>
    <t xml:space="preserve">Max 9 pontos</t>
  </si>
  <si>
    <t xml:space="preserve">🩸 NORADRENALINA mcg/kg/min → ml/h</t>
  </si>
  <si>
    <t xml:space="preserve">Dose desejada (mcg/kg/min)</t>
  </si>
  <si>
    <t xml:space="preserve">Peso do paciente (kg)</t>
  </si>
  <si>
    <t xml:space="preserve">Concentração da solução (mcg/mL)</t>
  </si>
  <si>
    <t xml:space="preserve">Ex: 4mg em 250mL = 16mcg/mL</t>
  </si>
  <si>
    <t xml:space="preserve">Calcular antes</t>
  </si>
  <si>
    <t xml:space="preserve">Velocidade em mL/h</t>
  </si>
  <si>
    <t xml:space="preserve">mcg/kg/min × kg × 60 / conc.</t>
  </si>
  <si>
    <t xml:space="preserve">🩺 PROTOCOLO INSULINA — CAD E HIPERGLICEMIA</t>
  </si>
  <si>
    <t xml:space="preserve">Glicemia atual (mg/dL)</t>
  </si>
  <si>
    <t xml:space="preserve">Alvo 140-180 UTI</t>
  </si>
  <si>
    <t xml:space="preserve">Protocolo CAD — Vol.:</t>
  </si>
  <si>
    <t xml:space="preserve">Cristaloide 1-1.5L/h 1a hora. SF 0.9% ou 0.45%</t>
  </si>
  <si>
    <t xml:space="preserve">pH&lt;7.3 + cetonuria/cetonemia + glicose&gt;250</t>
  </si>
  <si>
    <t xml:space="preserve">ADA 2023</t>
  </si>
  <si>
    <t xml:space="preserve">Insulina CAD (Bic.):</t>
  </si>
  <si>
    <t xml:space="preserve">Regular 0.14 UI/kg/h SEM bolus (PREFERRED ADA 2023)</t>
  </si>
  <si>
    <t xml:space="preserve">Alternativa: 0.1UI/kg bolus + 0.1UI/kg/h IC</t>
  </si>
  <si>
    <t xml:space="preserve">NUNCA suspender sem glicose IV</t>
  </si>
  <si>
    <t xml:space="preserve">Manutencao Glicose (CAD):</t>
  </si>
  <si>
    <t xml:space="preserve">Iniciar SG5% quando glicemia &lt; 250 mg/dL com insulina continua</t>
  </si>
  <si>
    <t xml:space="preserve">Nao parar insulina — correr SG5% junto</t>
  </si>
  <si>
    <t xml:space="preserve">Evitar queda rapida</t>
  </si>
  <si>
    <t xml:space="preserve">Reposicao K+ (CAD):</t>
  </si>
  <si>
    <t xml:space="preserve">K&lt;3.5 PARAR insulina + repor K+ | K 3.5-5.0 continuar | K&gt;5.5 SEM K+</t>
  </si>
  <si>
    <t xml:space="preserve">MONITORAR K+ a cada 2-4h — CAD consome K++</t>
  </si>
  <si>
    <t xml:space="preserve">Hipocalemia fatal</t>
  </si>
  <si>
    <t xml:space="preserve">Meta glicemia CAD:</t>
  </si>
  <si>
    <t xml:space="preserve">140-250 mg/dL ate fechar anion gap | depois 100-200 mg/dL</t>
  </si>
  <si>
    <t xml:space="preserve">Fechar AG: AG&lt;12 + pH&gt;7.3 + HCO3&gt;18</t>
  </si>
  <si>
    <t xml:space="preserve">Nao descontinuar antes</t>
  </si>
  <si>
    <t xml:space="preserve">📐 FLUXOGRAMAS RÁPIDOS — ALGORITMOS DE MANEJO EM UTI</t>
  </si>
  <si>
    <t xml:space="preserve">🩸 HIPERCALEMIA — MANEJO URGENTE</t>
  </si>
  <si>
    <t xml:space="preserve">K+ &gt; 6.0 / ECG alterado / sintomas neuromusculares</t>
  </si>
  <si>
    <t xml:space="preserve">1️⃣ ESTABILIZAR MEMBRANA: Gluconato de cálcio 1g EV em 2-3 min. ECG monitorado. Repetir se necessário.</t>
  </si>
  <si>
    <t xml:space="preserve">2️⃣ DESLOCAR K+ para intracelular: Insulina regular 10 UI + SG50% 50mL EV em 15 min. Salbutamol 20mg nebulização.</t>
  </si>
  <si>
    <t xml:space="preserve">3️⃣ CORRIGIR ACIDOSE se pH &lt; 7.2: Bicarbonato de sódio 8.4% — 50-100 mEq EV (lento; cuidado hipervolemia)</t>
  </si>
  <si>
    <t xml:space="preserve">4️⃣ ELIMINAR K+: Resina de troca (Patiromer/SZC VO) | Furosemida se euvolêmico | Hemodiálise se K&gt;7 ou refratário/LRA</t>
  </si>
  <si>
    <t xml:space="preserve">5️⃣ MONITORIZAR: K+ a cada 1-2h; ECG contínuo; glicemia 30-60min após insulina</t>
  </si>
  <si>
    <t xml:space="preserve">💧 HIPONATREMIA GRAVE (Na &lt; 120 ou sintomática)</t>
  </si>
  <si>
    <t xml:space="preserve">Sintomas graves (convulsão, rebaixamento): URGÊNCIA</t>
  </si>
  <si>
    <t xml:space="preserve">1️⃣ NaCl 3% hipertônico: 100-150 mL bolus em 10-20min. Repetir até resolução dos sintomas ou Na ↑ 5 mEq/L</t>
  </si>
  <si>
    <t xml:space="preserve">2️⃣ META de correção: máx 10-12 mEq/L em 24h; máx 18 mEq/L em 48h. Evitar síndrome de desmielinização osmótica</t>
  </si>
  <si>
    <t xml:space="preserve">3️⃣ CAUSA: Hipovolêmica (SF) | Euvolêmica - SIADH (restrição hídrica ± vaptanos) | Hipervolêmica (restrição + furosemida)</t>
  </si>
  <si>
    <t xml:space="preserve">4️⃣ MONITORAR Na+ a cada 2-4h nas primeiras 24h. Se correção rápida: PARAR e considerar D5W para desacelerar.</t>
  </si>
  <si>
    <t xml:space="preserve">⚠️  SIADH: causa mais comum (50%+). Diagnóstico: Na urinário &gt; 20; Osm urinária &gt; Osm plasmática.</t>
  </si>
  <si>
    <t xml:space="preserve">🧠 CRISE CONVULSIVA / STATUS EPILEPTICUS</t>
  </si>
  <si>
    <t xml:space="preserve">Status epilepticus = convulsão &gt; 5min ou 2 sem recuperação de consciência</t>
  </si>
  <si>
    <t xml:space="preserve">0-5 min: 1️⃣ ABC | O2 | Acesso venoso | Glicemia | HGT: se baixo → Glicose 50%</t>
  </si>
  <si>
    <t xml:space="preserve">5-20 min: 2️⃣ Benzodiazepínico 1ª linha: Midazolam 0.2mg/kg IM (máx 10mg) ou Diazepam 0.15mg/kg EV (máx 10mg)</t>
  </si>
  <si>
    <t xml:space="preserve">20-40 min: 3️⃣ Fenitoína 20mg/kg EV em 20-30 min (máx 50mg/min) OU Levetiracetam 60mg/kg EV OU Ácido Valpróico 40mg/kg</t>
  </si>
  <si>
    <t xml:space="preserve">40-60 min: 4️⃣ STATUS REFRATÁRIO: Midazolam IC 0.05-2mg/kg/h OU Propofol IC OU Fenobarbital 20mg/kg EV</t>
  </si>
  <si>
    <t xml:space="preserve">60+ min: 5️⃣ STATUS SUPER-REFRATÁRIO: Cetamina IC | Pentobarbital | EEG contínuo obrigatório | Investigar causa (RM, LCR, autoimune)</t>
  </si>
  <si>
    <t xml:space="preserve">⚠️  Sempre investigar causa: infecção SNC, AVC, distúrbio metabólico, drogas, abstinência, autoimune</t>
  </si>
  <si>
    <t xml:space="preserve">🫀 BRADICARDIA SINTOMÁTICA — ALGORITMO ACLS</t>
  </si>
  <si>
    <t xml:space="preserve">FC &lt; 60 bpm com hipotensão, síncope, dor precordial, EAP, choque</t>
  </si>
  <si>
    <t xml:space="preserve">1️⃣ Sinais graves? → Atropina 0.5mg EV q3-5min (máx 3mg). Se BAV alto grau → menos eficaz</t>
  </si>
  <si>
    <t xml:space="preserve">2️⃣ Sem resposta → Dopamina 2-20 mcg/kg/min IC ou Adrenalina 2-10 mcg/min IC</t>
  </si>
  <si>
    <t xml:space="preserve">3️⃣ MARCAPASSO transcutâneo: indicar se instável e sem resposta farmacológica</t>
  </si>
  <si>
    <t xml:space="preserve">4️⃣ Marcapasso transvenoso provisório: se persistente e aguardando definitivo</t>
  </si>
  <si>
    <t xml:space="preserve">Causas reversíveis (6H/5T): Hipóxia, Hipovolemia, H+, Hipotermia, Hipocalemia/cemia | TEP, Tamponamento, Tensão PNX, Tóxico, Trombose</t>
  </si>
  <si>
    <t xml:space="preserve">🩺 OLIGÚRIA / LRA — ABORDAGEM</t>
  </si>
  <si>
    <t xml:space="preserve">Oligúria: DU &lt; 0.5 mL/kg/h por ≥ 6h; LRA: Cr ↑ ≥ 0.3 em 48h ou ↑ ≥ 1.5x basal em 7d</t>
  </si>
  <si>
    <t xml:space="preserve">1️⃣ PRÉ-RENAL? PLR/desafio volêmico 250-500mL SF em 30min. Ecocardiograma point-of-care. Suspender nefrotóxicos</t>
  </si>
  <si>
    <t xml:space="preserve">2️⃣ RENAL (NTA)? Isquemia, sepse, contraste, aminoglicosídeos → suporte + evitar mais agressões</t>
  </si>
  <si>
    <t xml:space="preserve">3️⃣ PÓS-RENAL? USG renal (hidronefrose): sonda vesical, nefrostomia, urologia urgente</t>
  </si>
  <si>
    <t xml:space="preserve">4️⃣ LRA KDIGO 3 ou indicações de HD: K+&gt;6.5, acidose refratária, sobrecarga volêmica, uremia sintomática</t>
  </si>
  <si>
    <t xml:space="preserve">5️⃣ TRS: CRRT preferida em instabilidade hemodinâmica. HD intermitente se estável. Meta: fluido negativo</t>
  </si>
  <si>
    <t xml:space="preserve">🫁 HIPOXEMIA EM VM — ALGORITMO</t>
  </si>
  <si>
    <t xml:space="preserve">SpO2 &lt; 90% / PaO2 &lt; 60 em VM — Abordagem sistemática</t>
  </si>
  <si>
    <t xml:space="preserve">1️⃣ Verificar: TOT deslocado? (auscultação, RX), Atelectasia, Tampão mucoso (aspirar, fisio)</t>
  </si>
  <si>
    <t xml:space="preserve">2️⃣ Aumentar FiO2 para 100% provisoriamente enquanto investiga</t>
  </si>
  <si>
    <t xml:space="preserve">3️⃣ Otimizar PEEP: trial PEEP incremental (5→8→10→12→14) com monitorização P/F e complacência</t>
  </si>
  <si>
    <t xml:space="preserve">4️⃣ Pesquisar causa: pneumotórax (ausculta + RX), derrame pleural, broncoespasmo, TEP, edema pulmonar</t>
  </si>
  <si>
    <t xml:space="preserve">5️⃣ SDRA grave (P/F&lt;150): PRONA 16h + Cisatracúrio 48h | Recrutamento alveolar controlado | Consultar ECMO se refratário</t>
  </si>
  <si>
    <t xml:space="preserve">🔴 PARADA CARDIORRESPIRATÓRIA (PCR) — ACLS RESUMIDO</t>
  </si>
  <si>
    <t xml:space="preserve">RCE = Retorno da Circulação Espontânea | FV/TVsP = Chocável | AESP/Assistolia = Não chocável</t>
  </si>
  <si>
    <t xml:space="preserve">IMEDIATO: Reconhecer PCR → Chamar ajuda → Iniciar RCP (30:2 ou contínua se IOT) → Desfibrilador</t>
  </si>
  <si>
    <t xml:space="preserve">FV/TVsP: ⚡ CHOQUE bifásico 200J → RCP 2min → Checar ritmo → Repetir. Adrenalina 1mg EV q3-5min após 2º choque</t>
  </si>
  <si>
    <t xml:space="preserve">AESP/Assistolia: Adrenalina 1mg EV q3-5min desde o início. RCP 2min continuamente.</t>
  </si>
  <si>
    <t xml:space="preserve">Causas Reversíveis 6H+5T: Hipóxia → O2 | Hipovolemia → Volume | Hipotermia → Aquecer | H+ (acidose) → HCO3 | Hipocalemia/cemia → corrigir</t>
  </si>
  <si>
    <t xml:space="preserve">5T: TEP→trombólise | Tamponamento→pericardiocentese | Tensão PNX→agulha | Tóxico→antídoto | Trombose coronária→ACTP</t>
  </si>
  <si>
    <t xml:space="preserve">RCE pós-PCR: Oxigenação 94-98% | CO2 35-45 | PAM ≥ 65 | Glicose 140-180 | Hipotermia se coma pós-PCR não cirúrgico</t>
  </si>
  <si>
    <t xml:space="preserve">⚠️  ALERTAS DE SEGURANÇA — CONTRAINDICAÇÕES, INTERAÇÕES E RISCOS</t>
  </si>
  <si>
    <t xml:space="preserve">🚫 DROGAS CONTRAINDICADAS / CUIDADO NA DISFUNÇÃO RENAL GRAVE (ClCr&lt;30)</t>
  </si>
  <si>
    <t xml:space="preserve">DROGA/SITUAÇÃO</t>
  </si>
  <si>
    <t xml:space="preserve">RISCO / ORIENTAÇÃO</t>
  </si>
  <si>
    <t xml:space="preserve">Acidose lática fatal — SUSPENDER imediatamente na UTI</t>
  </si>
  <si>
    <t xml:space="preserve">NSAIDs (ibuprofeno, cetorolaco, diclofenaco)</t>
  </si>
  <si>
    <t xml:space="preserve">Pioram função renal, inibem prostaglandinas — EVITAR em todo paciente com risco renal</t>
  </si>
  <si>
    <t xml:space="preserve">Acúmulo — CONTRAINDICADA em ClCr &lt; 30</t>
  </si>
  <si>
    <t xml:space="preserve">Cefepime (dose não ajustada)</t>
  </si>
  <si>
    <t xml:space="preserve">Encefalopatia por cefepime — ajustar dose obrigatório</t>
  </si>
  <si>
    <t xml:space="preserve">Morfina e tramadol (sem ajuste)</t>
  </si>
  <si>
    <t xml:space="preserve">Acúmulo de metabólitos ativos — depressão resp., coma</t>
  </si>
  <si>
    <t xml:space="preserve">Digoxina (sem monitorização)</t>
  </si>
  <si>
    <t xml:space="preserve">Intoxicação digitálica — janela estreita; dosar nível</t>
  </si>
  <si>
    <t xml:space="preserve">Baclofeno (sem ajuste)</t>
  </si>
  <si>
    <t xml:space="preserve">Encefalopatia grave, coma, depressão respiratória</t>
  </si>
  <si>
    <t xml:space="preserve">Dabigatrana e Rivaroxabana (ClCr&lt;30/15)</t>
  </si>
  <si>
    <t xml:space="preserve">Sangramento fatal por acúmulo — CONTRAINDICADAS</t>
  </si>
  <si>
    <t xml:space="preserve">🫀 DROGAS QUE PROLONGAM INTERVALO QT</t>
  </si>
  <si>
    <t xml:space="preserve">Haloperidol EV</t>
  </si>
  <si>
    <t xml:space="preserve">Maior risco QT vs VO; monitorar ECG; evitar se QTc&gt;500ms</t>
  </si>
  <si>
    <t xml:space="preserve">Quetiapina, Risperidona</t>
  </si>
  <si>
    <t xml:space="preserve">Prolongamento QT moderado</t>
  </si>
  <si>
    <t xml:space="preserve">Ciprofloxacino, Levofloxacino, Moxifloxacino</t>
  </si>
  <si>
    <t xml:space="preserve">Risco QT — monitorar ECG em dose alta ou associados a outros QT-prolongadores</t>
  </si>
  <si>
    <t xml:space="preserve">Prolonga QT intencionalmente — monitorar</t>
  </si>
  <si>
    <t xml:space="preserve">Metadona</t>
  </si>
  <si>
    <t xml:space="preserve">Alto risco QT — monitorar ECG</t>
  </si>
  <si>
    <t xml:space="preserve">Ondansetrona ≥ 32mg EV</t>
  </si>
  <si>
    <t xml:space="preserve">Risco QT — usar &lt; 16mg por dose</t>
  </si>
  <si>
    <t xml:space="preserve">Azitromicina EV</t>
  </si>
  <si>
    <t xml:space="preserve">Risco QT especialmente em cardiopatas</t>
  </si>
  <si>
    <t xml:space="preserve">⚠️  COMBINAÇÕES PERIGOSAS</t>
  </si>
  <si>
    <t xml:space="preserve">Dois ou mais QT-prolongadores aumentam risco exponencialmente — usar CredibleMeds.org</t>
  </si>
  <si>
    <t xml:space="preserve">💉 COMBINAÇÕES NEFROTÓXICAS — EVITAR</t>
  </si>
  <si>
    <t xml:space="preserve">Vancomicina + Piperacilina-Tazobactam</t>
  </si>
  <si>
    <t xml:space="preserve">LRA até 3x mais frequente — metanálise confirmada — substituir sempre que possível</t>
  </si>
  <si>
    <t xml:space="preserve">Vancomicina + Aminoglicosídeo</t>
  </si>
  <si>
    <t xml:space="preserve">Nefrotoxicidade sinérgica grave</t>
  </si>
  <si>
    <t xml:space="preserve">AINE + IECA/BRA + Diurético</t>
  </si>
  <si>
    <t xml:space="preserve">Tríplice nefrotóxica — síndrome cardiorrenal</t>
  </si>
  <si>
    <t xml:space="preserve">Contraste iodado + Metformina</t>
  </si>
  <si>
    <t xml:space="preserve">Parar metformina 24-48h antes do contraste</t>
  </si>
  <si>
    <t xml:space="preserve">Anfotericina B + Aminoglicosídeo</t>
  </si>
  <si>
    <t xml:space="preserve">Potencialização nefrotóxica intensa</t>
  </si>
  <si>
    <t xml:space="preserve">Tacrolimus/Ciclosporina + Azóis (fluconazol/vori)</t>
  </si>
  <si>
    <t xml:space="preserve">Nível imunossupressor aumenta + nefrotox</t>
  </si>
  <si>
    <t xml:space="preserve">🧠 RISCO DE DELIRIUM — FATORES E DROGAS</t>
  </si>
  <si>
    <t xml:space="preserve">Benzodiazepínicos (midazolam, diazepam)</t>
  </si>
  <si>
    <t xml:space="preserve">Maior risco de delirium — preferir propofol/dexmedetomidina</t>
  </si>
  <si>
    <t xml:space="preserve">Anticolinérgicos (atropina, escopolamina)</t>
  </si>
  <si>
    <t xml:space="preserve">Delirium anticolinérgico — minimizar</t>
  </si>
  <si>
    <t xml:space="preserve">Opioides em altas doses</t>
  </si>
  <si>
    <t xml:space="preserve">Risco de delirium, especialmente morfina</t>
  </si>
  <si>
    <t xml:space="preserve">Restrição de sono, imobilidade, falta de luz</t>
  </si>
  <si>
    <t xml:space="preserve">Fatores não farmacológicos — protocolo sono/delirium</t>
  </si>
  <si>
    <t xml:space="preserve">Idade &gt; 65 anos</t>
  </si>
  <si>
    <t xml:space="preserve">Maior vulnerabilidade — monitorar CAM-ICU 2x/dia</t>
  </si>
  <si>
    <t xml:space="preserve">Privação sensorial (visão, audição)</t>
  </si>
  <si>
    <t xml:space="preserve">Usar óculos/aparelhos auditivos — fator protetor</t>
  </si>
  <si>
    <t xml:space="preserve">🫁 RISCO DE DEPRESSÃO RESPIRATÓRIA</t>
  </si>
  <si>
    <t xml:space="preserve">Opioides + Benzodiazepínicos combinados</t>
  </si>
  <si>
    <t xml:space="preserve">Sinergia depressora respiratória — risco morte</t>
  </si>
  <si>
    <t xml:space="preserve">Opioides + Propofol em altas doses</t>
  </si>
  <si>
    <t xml:space="preserve">Monitoramento contínuo SpO2 e capnografia</t>
  </si>
  <si>
    <t xml:space="preserve">Dexmedetomidina + Opioide em sedação profunda</t>
  </si>
  <si>
    <t xml:space="preserve">Risco apneia — titular com cuidado</t>
  </si>
  <si>
    <t xml:space="preserve">Sulfato de magnésio em altas doses (pre-eclâmpsia)</t>
  </si>
  <si>
    <t xml:space="preserve">Monitorar reflexo rotuliano e FR</t>
  </si>
  <si>
    <t xml:space="preserve">Bloqueio neuromuscular sem ventilação garantida</t>
  </si>
  <si>
    <t xml:space="preserve">Nunca usar sem IOT confirmada e VM funcionante</t>
  </si>
  <si>
    <t xml:space="preserve">⚗️  INTERAÇÕES SEROTONINÉRGICAS</t>
  </si>
  <si>
    <t xml:space="preserve">Tramadol + ISRS/IMAO/Linezolida</t>
  </si>
  <si>
    <t xml:space="preserve">Síndrome serotoninérgica — tremor, hipertermia, agitação, mioclônus</t>
  </si>
  <si>
    <t xml:space="preserve">Fentanil/Meperidina + IMAO</t>
  </si>
  <si>
    <t xml:space="preserve">Síndrome serotoninérgica grave/fatal</t>
  </si>
  <si>
    <t xml:space="preserve">Linezolida + Antidepressivos serotoninérgicos</t>
  </si>
  <si>
    <t xml:space="preserve">Linezolida inibe MAO — risco síndrome serotoninérgica — substituir por daptomicina se possível</t>
  </si>
  <si>
    <t xml:space="preserve">Azul de Metileno + ISRS</t>
  </si>
  <si>
    <t xml:space="preserve">Inibe MAO — síndrome serotoninérgica — contraindicado</t>
  </si>
  <si>
    <t xml:space="preserve">⚠️  Critérios Hunter para Síndrome Serotoninérgica</t>
  </si>
  <si>
    <t xml:space="preserve">Clonus + agitação + hipertermia — susp. causadora + ciproeptadina + BZD</t>
  </si>
  <si>
    <t xml:space="preserve">🌙 PASSAGEM DE PLANTÃO UTI — MODELO ESTRUTURADO</t>
  </si>
  <si>
    <t xml:space="preserve">Data: 19/05/2026 | Médico saindo: _________________________ | Médico assumindo: _________________________</t>
  </si>
  <si>
    <t xml:space="preserve">DX PRINCIPAL</t>
  </si>
  <si>
    <t xml:space="preserve">EVENTOS
24H</t>
  </si>
  <si>
    <t xml:space="preserve">SUPORTE
VENT.</t>
  </si>
  <si>
    <t xml:space="preserve">HEMO-
DINÂMICA</t>
  </si>
  <si>
    <t xml:space="preserve">INFECÇÃO
/ ATB</t>
  </si>
  <si>
    <t xml:space="preserve">RIM /
DIURESE</t>
  </si>
  <si>
    <t xml:space="preserve">NEURO</t>
  </si>
  <si>
    <t xml:space="preserve">NUTRIÇÃO</t>
  </si>
  <si>
    <t xml:space="preserve">PENDÊNCIAS</t>
  </si>
  <si>
    <t xml:space="preserve">RISCOS
NOITE</t>
  </si>
  <si>
    <t xml:space="preserve">CONDUTA
SE PIORAR</t>
  </si>
  <si>
    <t xml:space="preserve">META 12-24H</t>
  </si>
  <si>
    <t xml:space="preserve">📚 REFERÊNCIAS, GUIDELINES E AVISOS LEGAIS</t>
  </si>
  <si>
    <t xml:space="preserve">📖 PRINCIPAIS GUIDELINES E FONTES UTILIZADAS</t>
  </si>
  <si>
    <t xml:space="preserve">GUIDELINE / FONTE</t>
  </si>
  <si>
    <t xml:space="preserve">ANO</t>
  </si>
  <si>
    <t xml:space="preserve">AUTORES / ORGANIZAÇÃO</t>
  </si>
  <si>
    <t xml:space="preserve">ACESSO</t>
  </si>
  <si>
    <t xml:space="preserve">Surviving Sepsis Campaign (SSC)</t>
  </si>
  <si>
    <t xml:space="preserve">2021</t>
  </si>
  <si>
    <t xml:space="preserve">Evan L. Evans et al. — SCCM/ESICM</t>
  </si>
  <si>
    <t xml:space="preserve">sepsis.org</t>
  </si>
  <si>
    <t xml:space="preserve">KDIGO — Injúria Renal Aguda</t>
  </si>
  <si>
    <t xml:space="preserve">2012/2024</t>
  </si>
  <si>
    <t xml:space="preserve">Kidney Disease: Improving Global Outcomes</t>
  </si>
  <si>
    <t xml:space="preserve">kdigo.org</t>
  </si>
  <si>
    <t xml:space="preserve">SCCM — PADIS (Pain, Agitation, Delirium, Immobility, Sleep)</t>
  </si>
  <si>
    <t xml:space="preserve">2018</t>
  </si>
  <si>
    <t xml:space="preserve">SCCM Guidelines — ICU Liberation</t>
  </si>
  <si>
    <t xml:space="preserve">sccm.org</t>
  </si>
  <si>
    <t xml:space="preserve">ESICM — SDRA e Ventilação Mecânica</t>
  </si>
  <si>
    <t xml:space="preserve">2017/2023</t>
  </si>
  <si>
    <t xml:space="preserve">ESICM Task Force</t>
  </si>
  <si>
    <t xml:space="preserve">esicm.org</t>
  </si>
  <si>
    <t xml:space="preserve">ARDSNet — Ventilação Protetora</t>
  </si>
  <si>
    <t xml:space="preserve">2000</t>
  </si>
  <si>
    <t xml:space="preserve">NEJM — ARMA Trial</t>
  </si>
  <si>
    <t xml:space="preserve">ardsnet.org</t>
  </si>
  <si>
    <t xml:space="preserve">PROSEVA — Prona em SDRA</t>
  </si>
  <si>
    <t xml:space="preserve">2013</t>
  </si>
  <si>
    <t xml:space="preserve">Guérin et al. — NEJM</t>
  </si>
  <si>
    <t xml:space="preserve">NEJM 2013;368:2159</t>
  </si>
  <si>
    <t xml:space="preserve">AMIB — Medicina Intensiva Brasil</t>
  </si>
  <si>
    <t xml:space="preserve">Atualizado</t>
  </si>
  <si>
    <t xml:space="preserve">Associação de Medicina Intensiva Brasileira</t>
  </si>
  <si>
    <t xml:space="preserve">amib.org.br</t>
  </si>
  <si>
    <t xml:space="preserve">ADA — Protocolo CAD</t>
  </si>
  <si>
    <t xml:space="preserve">2023</t>
  </si>
  <si>
    <t xml:space="preserve">American Diabetes Association — Standards of Care</t>
  </si>
  <si>
    <t xml:space="preserve">diabetes.org</t>
  </si>
  <si>
    <t xml:space="preserve">IDSA — Vancomicina AUC/MIC</t>
  </si>
  <si>
    <t xml:space="preserve">2020</t>
  </si>
  <si>
    <t xml:space="preserve">IDSA/ASHP/SIDP — Vancomycin TDM Guidelines</t>
  </si>
  <si>
    <t xml:space="preserve">idsociety.org</t>
  </si>
  <si>
    <t xml:space="preserve">ACLS — Parada Cardiorrespiratória</t>
  </si>
  <si>
    <t xml:space="preserve">2020/2023</t>
  </si>
  <si>
    <t xml:space="preserve">AHA/ARC — ILCOR Guidelines</t>
  </si>
  <si>
    <t xml:space="preserve">cpr.heart.org</t>
  </si>
  <si>
    <t xml:space="preserve">ESC — Fibrilação Atrial e CHA2DS2-VASc</t>
  </si>
  <si>
    <t xml:space="preserve">European Society of Cardiology</t>
  </si>
  <si>
    <t xml:space="preserve">escardio.org</t>
  </si>
  <si>
    <t xml:space="preserve">ISTH — Anticoagulação e TEV</t>
  </si>
  <si>
    <t xml:space="preserve">International Society on Thrombosis and Haemostasis</t>
  </si>
  <si>
    <t xml:space="preserve">isth.org</t>
  </si>
  <si>
    <t xml:space="preserve">CFM — Brasil</t>
  </si>
  <si>
    <t xml:space="preserve">Conselho Federal de Medicina — resoluções vigentes</t>
  </si>
  <si>
    <t xml:space="preserve">cfm.org.br</t>
  </si>
  <si>
    <t xml:space="preserve">UpToDate (Wolters Kluwer)</t>
  </si>
  <si>
    <t xml:space="preserve">Contínuo</t>
  </si>
  <si>
    <t xml:space="preserve">Referência clínica atualizada (assinatura necessária)</t>
  </si>
  <si>
    <t xml:space="preserve">uptodate.com</t>
  </si>
  <si>
    <t xml:space="preserve">Micromedex Drug Interactions</t>
  </si>
  <si>
    <t xml:space="preserve">Interações medicamentosas</t>
  </si>
  <si>
    <t xml:space="preserve">micromedex.com</t>
  </si>
  <si>
    <t xml:space="preserve">CredibleMeds — QT Prolongation</t>
  </si>
  <si>
    <t xml:space="preserve">Risco QT — lista de medicamentos</t>
  </si>
  <si>
    <t xml:space="preserve">crediblemeds.org</t>
  </si>
  <si>
    <t xml:space="preserve">⚠️  AVISO LEGAL — LEIA ANTES DE USAR</t>
  </si>
  <si>
    <t xml:space="preserve">Esta planilha é FERRAMENTA DE APOIO À DECISÃO CLÍNICA. NÃO substitui julgamento médico individualizado.</t>
  </si>
  <si>
    <t xml:space="preserve">NÃO substitui protocolos institucionais do HRN, Santa Casa de Sobral ou de qualquer outro serviço.</t>
  </si>
  <si>
    <t xml:space="preserve">Doses medicamentosas SEMPRE devem ser confirmadas com bula oficial, farmácia clínica e especialista.</t>
  </si>
  <si>
    <t xml:space="preserve">Ajustes renais são ORIENTATIVOS — individualizar conforme peso, diálise, foco infeccioso, gravidade e MIC.</t>
  </si>
  <si>
    <t xml:space="preserve">Informações baseadas em guidelines internacionais — validar com protocolos locais e disponibilidade de drogas.</t>
  </si>
  <si>
    <t xml:space="preserve">Criação e uso são de responsabilidade exclusiva do profissional médico licenciado.</t>
  </si>
  <si>
    <t xml:space="preserve">Atualizar periodicamente conforme novas evidências e guidelines vigentes.</t>
  </si>
  <si>
    <t xml:space="preserve">Dr. Aldenir Rocha — CRM-CE 16587 | RQE Clínica Médica 11846 | Hospital Regional Norte | Santa Casa Sobral-CE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</si>
</sst>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6C757D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A7A4A"/>
      <name val="Arial"/>
      <family val="0"/>
      <charset val="1"/>
    </font>
    <font>
      <b val="true"/>
      <sz val="9"/>
      <color rgb="FFE07B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i val="true"/>
      <sz val="9"/>
      <color rgb="FF6C757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B3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E07B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5C518"/>
      <name val="Arial"/>
      <family val="0"/>
      <charset val="1"/>
    </font>
    <font>
      <b val="true"/>
      <sz val="14"/>
      <color rgb="FF1A7A4A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C0392B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D7C8C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A7A4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6C757D"/>
      <name val="Arial"/>
      <family val="0"/>
      <charset val="1"/>
    </font>
    <font>
      <sz val="9"/>
      <color rgb="FF0D7C8C"/>
      <name val="Arial"/>
      <family val="0"/>
      <charset val="1"/>
    </font>
    <font>
      <sz val="9"/>
      <color rgb="FF1B3A6B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0D7C8C"/>
        <bgColor rgb="FF2E6DA4"/>
      </patternFill>
    </fill>
    <fill>
      <patternFill patternType="solid">
        <fgColor rgb="FFFEF9E7"/>
        <bgColor rgb="FFFFF8E1"/>
      </patternFill>
    </fill>
    <fill>
      <patternFill patternType="solid">
        <fgColor rgb="FFD6EAF8"/>
        <bgColor rgb="FFD1F2EB"/>
      </patternFill>
    </fill>
    <fill>
      <patternFill patternType="solid">
        <fgColor rgb="FFF2F4F7"/>
        <bgColor rgb="FFEBF5FB"/>
      </patternFill>
    </fill>
    <fill>
      <patternFill patternType="solid">
        <fgColor rgb="FFD5F5E3"/>
        <bgColor rgb="FFD1F2EB"/>
      </patternFill>
    </fill>
    <fill>
      <patternFill patternType="solid">
        <fgColor rgb="FFFADBD8"/>
        <bgColor rgb="FFFFCDD2"/>
      </patternFill>
    </fill>
    <fill>
      <patternFill patternType="solid">
        <fgColor rgb="FFEBF5FB"/>
        <bgColor rgb="FFF2F4F7"/>
      </patternFill>
    </fill>
    <fill>
      <patternFill patternType="solid">
        <fgColor rgb="FF2E6DA4"/>
        <bgColor rgb="FF0D7C8C"/>
      </patternFill>
    </fill>
    <fill>
      <patternFill patternType="solid">
        <fgColor rgb="FFFFFFFF"/>
        <bgColor rgb="FFFEF9E7"/>
      </patternFill>
    </fill>
    <fill>
      <patternFill patternType="solid">
        <fgColor rgb="FF1A7A4A"/>
        <bgColor rgb="FF0D7C8C"/>
      </patternFill>
    </fill>
    <fill>
      <patternFill patternType="solid">
        <fgColor rgb="FFFFF8E1"/>
        <bgColor rgb="FFFEF9E7"/>
      </patternFill>
    </fill>
    <fill>
      <patternFill patternType="solid">
        <fgColor rgb="FFE07B00"/>
        <bgColor rgb="FFFF9900"/>
      </patternFill>
    </fill>
    <fill>
      <patternFill patternType="solid">
        <fgColor rgb="FFD0D3D4"/>
        <bgColor rgb="FFBDBDBD"/>
      </patternFill>
    </fill>
    <fill>
      <patternFill patternType="solid">
        <fgColor rgb="FFC0392B"/>
        <bgColor rgb="FF993366"/>
      </patternFill>
    </fill>
    <fill>
      <patternFill patternType="solid">
        <fgColor rgb="FFD1F2EB"/>
        <bgColor rgb="FFD5F5E3"/>
      </patternFill>
    </fill>
    <fill>
      <patternFill patternType="solid">
        <fgColor rgb="FFFFCDD2"/>
        <bgColor rgb="FFFADBD8"/>
      </patternFill>
    </fill>
    <fill>
      <patternFill patternType="solid">
        <fgColor rgb="FFFFEBEE"/>
        <bgColor rgb="FFF2F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392B"/>
      </font>
      <fill>
        <patternFill>
          <bgColor rgb="FFFADBD8"/>
        </patternFill>
      </fill>
    </dxf>
    <dxf>
      <font>
        <b val="1"/>
        <color rgb="FFE07B00"/>
      </font>
      <fill>
        <patternFill>
          <bgColor rgb="FFFEF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4F7"/>
      <rgbColor rgb="FFFF00FF"/>
      <rgbColor rgb="FF00FFFF"/>
      <rgbColor rgb="FF800000"/>
      <rgbColor rgb="FF008000"/>
      <rgbColor rgb="FF000080"/>
      <rgbColor rgb="FF808000"/>
      <rgbColor rgb="FF800080"/>
      <rgbColor rgb="FF0D7C8C"/>
      <rgbColor rgb="FFBDBDBD"/>
      <rgbColor rgb="FF6C757D"/>
      <rgbColor rgb="FF9999FF"/>
      <rgbColor rgb="FF993366"/>
      <rgbColor rgb="FFFFF8E1"/>
      <rgbColor rgb="FFD1F2EB"/>
      <rgbColor rgb="FF660066"/>
      <rgbColor rgb="FFFF8080"/>
      <rgbColor rgb="FF2E6DA4"/>
      <rgbColor rgb="FFD0D3D4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D6EAF8"/>
      <rgbColor rgb="FFD5F5E3"/>
      <rgbColor rgb="FFFEF9E7"/>
      <rgbColor rgb="FFEBF5FB"/>
      <rgbColor rgb="FFFADBD8"/>
      <rgbColor rgb="FFFFEBEE"/>
      <rgbColor rgb="FFFFCDD2"/>
      <rgbColor rgb="FF3366FF"/>
      <rgbColor rgb="FF33CCCC"/>
      <rgbColor rgb="FF99CC00"/>
      <rgbColor rgb="FFF5C518"/>
      <rgbColor rgb="FFFF9900"/>
      <rgbColor rgb="FFE07B00"/>
      <rgbColor rgb="FF666699"/>
      <rgbColor rgb="FF969696"/>
      <rgbColor rgb="FF1B3A6B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5"/>
    <col collapsed="false" customWidth="true" hidden="false" outlineLevel="0" max="4" min="4" style="1" width="35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21.75" hidden="false" customHeight="true" outlineLevel="0" collapsed="false">
      <c r="A6" s="6" t="s">
        <v>9</v>
      </c>
      <c r="B6" s="7" t="s">
        <v>10</v>
      </c>
      <c r="C6" s="8" t="s">
        <v>11</v>
      </c>
      <c r="D6" s="9" t="s">
        <v>12</v>
      </c>
      <c r="E6" s="10" t="s">
        <v>13</v>
      </c>
      <c r="F6" s="11" t="s">
        <v>14</v>
      </c>
    </row>
    <row r="7" customFormat="false" ht="21.75" hidden="false" customHeight="true" outlineLevel="0" collapsed="false">
      <c r="A7" s="6" t="s">
        <v>15</v>
      </c>
      <c r="B7" s="7" t="s">
        <v>16</v>
      </c>
      <c r="C7" s="8" t="s">
        <v>17</v>
      </c>
      <c r="D7" s="9" t="s">
        <v>18</v>
      </c>
      <c r="E7" s="10" t="s">
        <v>13</v>
      </c>
      <c r="F7" s="11" t="s">
        <v>14</v>
      </c>
    </row>
    <row r="8" customFormat="false" ht="21.75" hidden="false" customHeight="true" outlineLevel="0" collapsed="false">
      <c r="A8" s="6" t="s">
        <v>19</v>
      </c>
      <c r="B8" s="7" t="s">
        <v>20</v>
      </c>
      <c r="C8" s="8" t="s">
        <v>21</v>
      </c>
      <c r="D8" s="9" t="s">
        <v>22</v>
      </c>
      <c r="E8" s="10" t="s">
        <v>13</v>
      </c>
      <c r="F8" s="11" t="s">
        <v>14</v>
      </c>
    </row>
    <row r="9" customFormat="false" ht="21.75" hidden="false" customHeight="true" outlineLevel="0" collapsed="false">
      <c r="A9" s="6" t="s">
        <v>23</v>
      </c>
      <c r="B9" s="7" t="s">
        <v>24</v>
      </c>
      <c r="C9" s="8" t="s">
        <v>25</v>
      </c>
      <c r="D9" s="9" t="s">
        <v>26</v>
      </c>
      <c r="E9" s="10" t="s">
        <v>13</v>
      </c>
      <c r="F9" s="11" t="s">
        <v>14</v>
      </c>
    </row>
    <row r="10" customFormat="false" ht="21.75" hidden="false" customHeight="true" outlineLevel="0" collapsed="false">
      <c r="A10" s="6" t="s">
        <v>27</v>
      </c>
      <c r="B10" s="7" t="s">
        <v>28</v>
      </c>
      <c r="C10" s="8" t="s">
        <v>29</v>
      </c>
      <c r="D10" s="9" t="s">
        <v>30</v>
      </c>
      <c r="E10" s="10" t="s">
        <v>13</v>
      </c>
      <c r="F10" s="11" t="s">
        <v>14</v>
      </c>
    </row>
    <row r="11" customFormat="false" ht="21.75" hidden="false" customHeight="true" outlineLevel="0" collapsed="false">
      <c r="A11" s="6" t="s">
        <v>31</v>
      </c>
      <c r="B11" s="7" t="s">
        <v>32</v>
      </c>
      <c r="C11" s="8" t="s">
        <v>33</v>
      </c>
      <c r="D11" s="9" t="s">
        <v>34</v>
      </c>
      <c r="E11" s="10" t="s">
        <v>13</v>
      </c>
      <c r="F11" s="11" t="s">
        <v>14</v>
      </c>
    </row>
    <row r="12" customFormat="false" ht="21.75" hidden="false" customHeight="true" outlineLevel="0" collapsed="false">
      <c r="A12" s="6" t="s">
        <v>35</v>
      </c>
      <c r="B12" s="7" t="s">
        <v>36</v>
      </c>
      <c r="C12" s="8" t="s">
        <v>37</v>
      </c>
      <c r="D12" s="9" t="s">
        <v>38</v>
      </c>
      <c r="E12" s="10" t="s">
        <v>13</v>
      </c>
      <c r="F12" s="11" t="s">
        <v>14</v>
      </c>
    </row>
    <row r="13" customFormat="false" ht="21.75" hidden="false" customHeight="true" outlineLevel="0" collapsed="false">
      <c r="A13" s="6" t="s">
        <v>39</v>
      </c>
      <c r="B13" s="7" t="s">
        <v>40</v>
      </c>
      <c r="C13" s="8" t="s">
        <v>41</v>
      </c>
      <c r="D13" s="9" t="s">
        <v>42</v>
      </c>
      <c r="E13" s="10" t="s">
        <v>13</v>
      </c>
      <c r="F13" s="11" t="s">
        <v>14</v>
      </c>
    </row>
    <row r="14" customFormat="false" ht="21.75" hidden="false" customHeight="true" outlineLevel="0" collapsed="false">
      <c r="A14" s="6" t="s">
        <v>43</v>
      </c>
      <c r="B14" s="7" t="s">
        <v>44</v>
      </c>
      <c r="C14" s="8" t="s">
        <v>45</v>
      </c>
      <c r="D14" s="9" t="s">
        <v>46</v>
      </c>
      <c r="E14" s="10" t="s">
        <v>13</v>
      </c>
      <c r="F14" s="11" t="s">
        <v>14</v>
      </c>
    </row>
    <row r="15" customFormat="false" ht="21.75" hidden="false" customHeight="true" outlineLevel="0" collapsed="false">
      <c r="A15" s="6" t="s">
        <v>47</v>
      </c>
      <c r="B15" s="7" t="s">
        <v>48</v>
      </c>
      <c r="C15" s="8" t="s">
        <v>49</v>
      </c>
      <c r="D15" s="9" t="s">
        <v>50</v>
      </c>
      <c r="E15" s="10" t="s">
        <v>13</v>
      </c>
      <c r="F15" s="11" t="s">
        <v>14</v>
      </c>
    </row>
    <row r="16" customFormat="false" ht="21.75" hidden="false" customHeight="true" outlineLevel="0" collapsed="false">
      <c r="A16" s="6" t="s">
        <v>51</v>
      </c>
      <c r="B16" s="7" t="s">
        <v>52</v>
      </c>
      <c r="C16" s="8" t="s">
        <v>53</v>
      </c>
      <c r="D16" s="9" t="s">
        <v>54</v>
      </c>
      <c r="E16" s="10" t="s">
        <v>13</v>
      </c>
      <c r="F16" s="11" t="s">
        <v>14</v>
      </c>
    </row>
    <row r="17" customFormat="false" ht="21.75" hidden="false" customHeight="true" outlineLevel="0" collapsed="false">
      <c r="A17" s="6" t="s">
        <v>55</v>
      </c>
      <c r="B17" s="7" t="s">
        <v>56</v>
      </c>
      <c r="C17" s="8" t="s">
        <v>57</v>
      </c>
      <c r="D17" s="9" t="s">
        <v>58</v>
      </c>
      <c r="E17" s="10" t="s">
        <v>13</v>
      </c>
      <c r="F17" s="11" t="s">
        <v>14</v>
      </c>
    </row>
    <row r="18" customFormat="false" ht="21.75" hidden="false" customHeight="true" outlineLevel="0" collapsed="false">
      <c r="A18" s="6" t="s">
        <v>59</v>
      </c>
      <c r="B18" s="7" t="s">
        <v>60</v>
      </c>
      <c r="C18" s="8" t="s">
        <v>61</v>
      </c>
      <c r="D18" s="9" t="s">
        <v>62</v>
      </c>
      <c r="E18" s="10" t="s">
        <v>13</v>
      </c>
      <c r="F18" s="11" t="s">
        <v>14</v>
      </c>
    </row>
    <row r="19" customFormat="false" ht="21.75" hidden="false" customHeight="true" outlineLevel="0" collapsed="false">
      <c r="A19" s="6" t="s">
        <v>63</v>
      </c>
      <c r="B19" s="7" t="s">
        <v>64</v>
      </c>
      <c r="C19" s="8" t="s">
        <v>65</v>
      </c>
      <c r="D19" s="9" t="s">
        <v>66</v>
      </c>
      <c r="E19" s="10" t="s">
        <v>13</v>
      </c>
      <c r="F19" s="11" t="s">
        <v>14</v>
      </c>
    </row>
    <row r="20" customFormat="false" ht="21.75" hidden="false" customHeight="true" outlineLevel="0" collapsed="false">
      <c r="A20" s="6" t="s">
        <v>67</v>
      </c>
      <c r="B20" s="7" t="s">
        <v>68</v>
      </c>
      <c r="C20" s="8" t="s">
        <v>69</v>
      </c>
      <c r="D20" s="9" t="s">
        <v>70</v>
      </c>
      <c r="E20" s="10" t="s">
        <v>13</v>
      </c>
      <c r="F20" s="11" t="s">
        <v>14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7"/>
    <col collapsed="false" customWidth="true" hidden="false" outlineLevel="0" max="5" min="4" style="1" width="14"/>
    <col collapsed="false" customWidth="true" hidden="false" outlineLevel="0" max="6" min="6" style="1" width="8"/>
    <col collapsed="false" customWidth="true" hidden="false" outlineLevel="0" max="7" min="7" style="1" width="30"/>
    <col collapsed="false" customWidth="true" hidden="false" outlineLevel="0" max="8" min="8" style="1" width="25"/>
    <col collapsed="false" customWidth="true" hidden="false" outlineLevel="0" max="9" min="9" style="1" width="8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12"/>
    <col collapsed="false" customWidth="true" hidden="false" outlineLevel="0" max="13" min="13" style="1" width="8"/>
    <col collapsed="false" customWidth="true" hidden="false" outlineLevel="0" max="14" min="14" style="1" width="14"/>
    <col collapsed="false" customWidth="true" hidden="false" outlineLevel="0" max="15" min="15" style="1" width="1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1" width="20"/>
    <col collapsed="false" customWidth="true" hidden="false" outlineLevel="0" max="19" min="19" style="1" width="8"/>
    <col collapsed="false" customWidth="true" hidden="false" outlineLevel="0" max="20" min="20" style="1" width="18"/>
    <col collapsed="false" customWidth="true" hidden="false" outlineLevel="0" max="22" min="21" style="1" width="14"/>
    <col collapsed="false" customWidth="true" hidden="false" outlineLevel="0" max="23" min="23" style="1" width="20"/>
    <col collapsed="false" customWidth="true" hidden="false" outlineLevel="0" max="25" min="24" style="1" width="25"/>
    <col collapsed="false" customWidth="true" hidden="false" outlineLevel="0" max="26" min="26" style="1" width="22"/>
    <col collapsed="false" customWidth="true" hidden="false" outlineLevel="0" max="27" min="27" style="1" width="12"/>
  </cols>
  <sheetData>
    <row r="1" customFormat="false" ht="27.75" hidden="false" customHeight="true" outlineLevel="0" collapsed="false">
      <c r="A1" s="12" t="s">
        <v>71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true" outlineLevel="0" collapsed="false">
      <c r="A2" s="13" t="s">
        <v>72</v>
      </c>
      <c r="B2" s="14" t="s">
        <v>73</v>
      </c>
      <c r="C2" s="15" t="s">
        <v>74</v>
      </c>
      <c r="D2" s="16" t="s">
        <v>75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customFormat="false" ht="31.5" hidden="false" customHeight="true" outlineLevel="0" collapsed="false">
      <c r="A3" s="17" t="s">
        <v>76</v>
      </c>
      <c r="B3" s="17" t="s">
        <v>77</v>
      </c>
      <c r="C3" s="17" t="s">
        <v>78</v>
      </c>
      <c r="D3" s="17" t="s">
        <v>79</v>
      </c>
      <c r="E3" s="17" t="s">
        <v>80</v>
      </c>
      <c r="F3" s="17" t="s">
        <v>81</v>
      </c>
      <c r="G3" s="17" t="s">
        <v>82</v>
      </c>
      <c r="H3" s="17" t="s">
        <v>83</v>
      </c>
      <c r="I3" s="17" t="s">
        <v>84</v>
      </c>
      <c r="J3" s="17" t="s">
        <v>85</v>
      </c>
      <c r="K3" s="17" t="s">
        <v>86</v>
      </c>
      <c r="L3" s="17" t="s">
        <v>87</v>
      </c>
      <c r="M3" s="17" t="s">
        <v>88</v>
      </c>
      <c r="N3" s="17" t="s">
        <v>89</v>
      </c>
      <c r="O3" s="17" t="s">
        <v>90</v>
      </c>
      <c r="P3" s="17" t="s">
        <v>91</v>
      </c>
      <c r="Q3" s="17" t="s">
        <v>92</v>
      </c>
      <c r="R3" s="17" t="s">
        <v>93</v>
      </c>
      <c r="S3" s="17" t="s">
        <v>94</v>
      </c>
      <c r="T3" s="17" t="s">
        <v>95</v>
      </c>
      <c r="U3" s="17" t="s">
        <v>96</v>
      </c>
      <c r="V3" s="17" t="s">
        <v>97</v>
      </c>
      <c r="W3" s="17" t="s">
        <v>98</v>
      </c>
      <c r="X3" s="17" t="s">
        <v>99</v>
      </c>
      <c r="Y3" s="17" t="s">
        <v>100</v>
      </c>
      <c r="Z3" s="17" t="s">
        <v>101</v>
      </c>
      <c r="AA3" s="17" t="s">
        <v>102</v>
      </c>
    </row>
    <row r="4" customFormat="false" ht="21.75" hidden="false" customHeight="true" outlineLevel="0" collapsed="false">
      <c r="A4" s="18" t="s">
        <v>103</v>
      </c>
      <c r="B4" s="19"/>
      <c r="C4" s="19"/>
      <c r="D4" s="19"/>
      <c r="E4" s="19"/>
      <c r="F4" s="20" t="str">
        <f aca="true">IF(E4="","",TODAY()-E4)</f>
        <v/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customFormat="false" ht="21.75" hidden="false" customHeight="true" outlineLevel="0" collapsed="false">
      <c r="A5" s="18" t="s">
        <v>104</v>
      </c>
      <c r="B5" s="19"/>
      <c r="C5" s="19"/>
      <c r="D5" s="19"/>
      <c r="E5" s="19"/>
      <c r="F5" s="20" t="str">
        <f aca="true">IF(E5="","",TODAY()-E5)</f>
        <v/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customFormat="false" ht="21.75" hidden="false" customHeight="true" outlineLevel="0" collapsed="false">
      <c r="A6" s="18" t="s">
        <v>105</v>
      </c>
      <c r="B6" s="19"/>
      <c r="C6" s="19"/>
      <c r="D6" s="19"/>
      <c r="E6" s="19"/>
      <c r="F6" s="20" t="str">
        <f aca="true">IF(E6="","",TODAY()-E6)</f>
        <v/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customFormat="false" ht="21.75" hidden="false" customHeight="true" outlineLevel="0" collapsed="false">
      <c r="A7" s="18" t="s">
        <v>106</v>
      </c>
      <c r="B7" s="19"/>
      <c r="C7" s="19"/>
      <c r="D7" s="19"/>
      <c r="E7" s="19"/>
      <c r="F7" s="20" t="str">
        <f aca="true">IF(E7="","",TODAY()-E7)</f>
        <v/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customFormat="false" ht="21.75" hidden="false" customHeight="true" outlineLevel="0" collapsed="false">
      <c r="A8" s="18" t="s">
        <v>107</v>
      </c>
      <c r="B8" s="19"/>
      <c r="C8" s="19"/>
      <c r="D8" s="19"/>
      <c r="E8" s="19"/>
      <c r="F8" s="20" t="str">
        <f aca="true">IF(E8="","",TODAY()-E8)</f>
        <v/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customFormat="false" ht="21.75" hidden="false" customHeight="true" outlineLevel="0" collapsed="false">
      <c r="A9" s="18" t="s">
        <v>108</v>
      </c>
      <c r="B9" s="19"/>
      <c r="C9" s="19"/>
      <c r="D9" s="19"/>
      <c r="E9" s="19"/>
      <c r="F9" s="20" t="str">
        <f aca="true">IF(E9="","",TODAY()-E9)</f>
        <v/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customFormat="false" ht="21.75" hidden="false" customHeight="true" outlineLevel="0" collapsed="false">
      <c r="A10" s="18" t="s">
        <v>109</v>
      </c>
      <c r="B10" s="19"/>
      <c r="C10" s="19"/>
      <c r="D10" s="19"/>
      <c r="E10" s="19"/>
      <c r="F10" s="20" t="str">
        <f aca="true">IF(E10="","",TODAY()-E10)</f>
        <v/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customFormat="false" ht="21.75" hidden="false" customHeight="true" outlineLevel="0" collapsed="false">
      <c r="A11" s="18" t="s">
        <v>110</v>
      </c>
      <c r="B11" s="19"/>
      <c r="C11" s="19"/>
      <c r="D11" s="19"/>
      <c r="E11" s="19"/>
      <c r="F11" s="20" t="str">
        <f aca="true">IF(E11="","",TODAY()-E11)</f>
        <v/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customFormat="false" ht="21.75" hidden="false" customHeight="true" outlineLevel="0" collapsed="false">
      <c r="A12" s="18" t="s">
        <v>111</v>
      </c>
      <c r="B12" s="19"/>
      <c r="C12" s="19"/>
      <c r="D12" s="19"/>
      <c r="E12" s="19"/>
      <c r="F12" s="20" t="str">
        <f aca="true">IF(E12="","",TODAY()-E12)</f>
        <v/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customFormat="false" ht="21.75" hidden="false" customHeight="true" outlineLevel="0" collapsed="false">
      <c r="A13" s="18" t="s">
        <v>112</v>
      </c>
      <c r="B13" s="19"/>
      <c r="C13" s="19"/>
      <c r="D13" s="19"/>
      <c r="E13" s="19"/>
      <c r="F13" s="20" t="str">
        <f aca="true">IF(E13="","",TODAY()-E13)</f>
        <v/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customFormat="false" ht="21.75" hidden="false" customHeight="true" outlineLevel="0" collapsed="false">
      <c r="A14" s="18" t="s">
        <v>113</v>
      </c>
      <c r="B14" s="19"/>
      <c r="C14" s="19"/>
      <c r="D14" s="19"/>
      <c r="E14" s="19"/>
      <c r="F14" s="20" t="str">
        <f aca="true">IF(E14="","",TODAY()-E14)</f>
        <v/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customFormat="false" ht="21.75" hidden="false" customHeight="true" outlineLevel="0" collapsed="false">
      <c r="A15" s="18" t="s">
        <v>114</v>
      </c>
      <c r="B15" s="19"/>
      <c r="C15" s="19"/>
      <c r="D15" s="19"/>
      <c r="E15" s="19"/>
      <c r="F15" s="20" t="str">
        <f aca="true">IF(E15="","",TODAY()-E15)</f>
        <v/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customFormat="false" ht="21.75" hidden="false" customHeight="true" outlineLevel="0" collapsed="false">
      <c r="A16" s="18" t="s">
        <v>115</v>
      </c>
      <c r="B16" s="19"/>
      <c r="C16" s="19"/>
      <c r="D16" s="19"/>
      <c r="E16" s="19"/>
      <c r="F16" s="20" t="str">
        <f aca="true">IF(E16="","",TODAY()-E16)</f>
        <v/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customFormat="false" ht="21.75" hidden="false" customHeight="true" outlineLevel="0" collapsed="false">
      <c r="A17" s="18" t="s">
        <v>116</v>
      </c>
      <c r="B17" s="19"/>
      <c r="C17" s="19"/>
      <c r="D17" s="19"/>
      <c r="E17" s="19"/>
      <c r="F17" s="20" t="str">
        <f aca="true">IF(E17="","",TODAY()-E17)</f>
        <v/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customFormat="false" ht="21.75" hidden="false" customHeight="true" outlineLevel="0" collapsed="false">
      <c r="A18" s="18" t="s">
        <v>117</v>
      </c>
      <c r="B18" s="19"/>
      <c r="C18" s="19"/>
      <c r="D18" s="19"/>
      <c r="E18" s="19"/>
      <c r="F18" s="20" t="str">
        <f aca="true">IF(E18="","",TODAY()-E18)</f>
        <v/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customFormat="false" ht="21.75" hidden="false" customHeight="true" outlineLevel="0" collapsed="false">
      <c r="A19" s="18" t="s">
        <v>118</v>
      </c>
      <c r="B19" s="19"/>
      <c r="C19" s="19"/>
      <c r="D19" s="19"/>
      <c r="E19" s="19"/>
      <c r="F19" s="20" t="str">
        <f aca="true">IF(E19="","",TODAY()-E19)</f>
        <v/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customFormat="false" ht="21.75" hidden="false" customHeight="true" outlineLevel="0" collapsed="false">
      <c r="A20" s="18" t="s">
        <v>119</v>
      </c>
      <c r="B20" s="19"/>
      <c r="C20" s="19"/>
      <c r="D20" s="19"/>
      <c r="E20" s="19"/>
      <c r="F20" s="20" t="str">
        <f aca="true">IF(E20="","",TODAY()-E20)</f>
        <v/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customFormat="false" ht="21.75" hidden="false" customHeight="true" outlineLevel="0" collapsed="false">
      <c r="A21" s="18" t="s">
        <v>120</v>
      </c>
      <c r="B21" s="19"/>
      <c r="C21" s="19"/>
      <c r="D21" s="19"/>
      <c r="E21" s="19"/>
      <c r="F21" s="20" t="str">
        <f aca="true">IF(E21="","",TODAY()-E21)</f>
        <v/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customFormat="false" ht="21.75" hidden="false" customHeight="true" outlineLevel="0" collapsed="false">
      <c r="A22" s="18" t="s">
        <v>121</v>
      </c>
      <c r="B22" s="19"/>
      <c r="C22" s="19"/>
      <c r="D22" s="19"/>
      <c r="E22" s="19"/>
      <c r="F22" s="20" t="str">
        <f aca="true">IF(E22="","",TODAY()-E22)</f>
        <v/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customFormat="false" ht="21.75" hidden="false" customHeight="true" outlineLevel="0" collapsed="false">
      <c r="A23" s="18" t="s">
        <v>122</v>
      </c>
      <c r="B23" s="19"/>
      <c r="C23" s="19"/>
      <c r="D23" s="19"/>
      <c r="E23" s="19"/>
      <c r="F23" s="20" t="str">
        <f aca="true">IF(E23="","",TODAY()-E23)</f>
        <v/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</sheetData>
  <mergeCells count="2">
    <mergeCell ref="A1:Z1"/>
    <mergeCell ref="D2:Z2"/>
  </mergeCells>
  <conditionalFormatting sqref="M4:M23">
    <cfRule type="cellIs" priority="2" operator="equal" aboveAverage="0" equalAverage="0" bottom="0" percent="0" rank="0" text="" dxfId="0">
      <formula>"Sim"</formula>
    </cfRule>
  </conditionalFormatting>
  <conditionalFormatting sqref="I4:I23">
    <cfRule type="cellIs" priority="3" operator="greaterThan" aboveAverage="0" equalAverage="0" bottom="0" percent="0" rank="0" text="" dxfId="0">
      <formula>70</formula>
    </cfRule>
    <cfRule type="cellIs" priority="4" operator="between" aboveAverage="0" equalAverage="0" bottom="0" percent="0" rank="0" text="" dxfId="1">
      <formula>50</formula>
      <formula>70</formula>
    </cfRule>
  </conditionalFormatting>
  <conditionalFormatting sqref="S4:S23">
    <cfRule type="cellIs" priority="5" operator="greaterThan" aboveAverage="0" equalAverage="0" bottom="0" percent="0" rank="0" text="" dxfId="0">
      <formula>7</formula>
    </cfRule>
  </conditionalFormatting>
  <dataValidations count="8">
    <dataValidation allowBlank="true" errorStyle="stop" operator="between" prompt="Prioridade UTI" showDropDown="false" showErrorMessage="false" showInputMessage="false" sqref="K4:K23" type="list">
      <formula1>"P1 - CRÍTICO,P2 - ALTO RISCO,P3 - LIMITADO,P4 - BAIXA PRIORIDADE"</formula1>
      <formula2>0</formula2>
    </dataValidation>
    <dataValidation allowBlank="true" errorStyle="stop" operator="between" prompt="Tipo ventilatório" showDropDown="false" showErrorMessage="false" showInputMessage="false" sqref="L4:L23" type="list">
      <formula1>"AA,O2 cateter,O2 máscara,VNI,CNAF,IOT,TQT"</formula1>
      <formula2>0</formula2>
    </dataValidation>
    <dataValidation allowBlank="true" errorStyle="stop" operator="between" prompt="DVA em uso?" showDropDown="false" showErrorMessage="false" showInputMessage="false" sqref="M4:M23" type="list">
      <formula1>"Sim,Não"</formula1>
      <formula2>0</formula2>
    </dataValidation>
    <dataValidation allowBlank="true" errorStyle="stop" operator="between" prompt="Sedação?" showDropDown="false" showErrorMessage="false" showInputMessage="false" sqref="O4:O23" type="list">
      <formula1>"Sim,Não"</formula1>
      <formula2>0</formula2>
    </dataValidation>
    <dataValidation allowBlank="true" errorStyle="stop" operator="between" prompt="RASS alvo" showDropDown="false" showErrorMessage="false" showInputMessage="false" sqref="P4:P23" type="list">
      <formula1>"-5,-4,-3,-2,-1,0,+1,+2,+3,+4"</formula1>
      <formula2>0</formula2>
    </dataValidation>
    <dataValidation allowBlank="true" errorStyle="stop" operator="between" prompt="CAM-ICU" showDropDown="false" showErrorMessage="false" showInputMessage="false" sqref="Q4:Q23" type="list">
      <formula1>"Positivo,Negativo,Não avaliável"</formula1>
      <formula2>0</formula2>
    </dataValidation>
    <dataValidation allowBlank="true" errorStyle="stop" operator="between" prompt="Função renal" showDropDown="false" showErrorMessage="false" showInputMessage="false" sqref="U4:U23" type="list">
      <formula1>"Normal,LRA KDIGO 1,LRA KDIGO 2,LRA KDIGO 3,HD,CAPD"</formula1>
      <formula2>0</formula2>
    </dataValidation>
    <dataValidation allowBlank="true" errorStyle="stop" operator="between" prompt="Risco global" showDropDown="false" showErrorMessage="false" showInputMessage="false" sqref="AA4:AA23" type="list">
      <formula1>"BAIXO,MODERADO,ALTO,CRÍTICO"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C8C"/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45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27.75" hidden="false" customHeight="true" outlineLevel="0" collapsed="false">
      <c r="A1" s="21" t="s">
        <v>123</v>
      </c>
      <c r="B1" s="21"/>
      <c r="C1" s="21"/>
      <c r="D1" s="21"/>
      <c r="E1" s="21"/>
      <c r="F1" s="21"/>
      <c r="G1" s="21"/>
      <c r="H1" s="21"/>
    </row>
    <row r="2" customFormat="false" ht="15" hidden="false" customHeight="true" outlineLevel="0" collapsed="false">
      <c r="A2" s="22" t="s">
        <v>124</v>
      </c>
      <c r="B2" s="22"/>
      <c r="C2" s="22"/>
      <c r="D2" s="22"/>
      <c r="E2" s="22"/>
      <c r="F2" s="22"/>
      <c r="G2" s="22"/>
      <c r="H2" s="22"/>
    </row>
    <row r="3" customFormat="false" ht="15" hidden="false" customHeight="true" outlineLevel="0" collapsed="false">
      <c r="A3" s="23" t="s">
        <v>125</v>
      </c>
      <c r="B3" s="23"/>
      <c r="C3" s="23"/>
      <c r="D3" s="23"/>
      <c r="E3" s="23"/>
      <c r="F3" s="23"/>
      <c r="G3" s="23"/>
      <c r="H3" s="23"/>
    </row>
    <row r="4" customFormat="false" ht="15" hidden="false" customHeight="true" outlineLevel="0" collapsed="false">
      <c r="A4" s="24" t="s">
        <v>126</v>
      </c>
      <c r="B4" s="24" t="s">
        <v>127</v>
      </c>
      <c r="C4" s="24" t="s">
        <v>128</v>
      </c>
    </row>
    <row r="5" customFormat="false" ht="23.25" hidden="false" customHeight="true" outlineLevel="0" collapsed="false">
      <c r="A5" s="8" t="s">
        <v>129</v>
      </c>
      <c r="B5" s="25" t="s">
        <v>130</v>
      </c>
      <c r="C5" s="25" t="s">
        <v>131</v>
      </c>
    </row>
    <row r="6" customFormat="false" ht="15" hidden="false" customHeight="true" outlineLevel="0" collapsed="false">
      <c r="A6" s="8" t="s">
        <v>132</v>
      </c>
      <c r="B6" s="26" t="s">
        <v>133</v>
      </c>
      <c r="C6" s="26"/>
    </row>
    <row r="7" customFormat="false" ht="23.25" hidden="false" customHeight="true" outlineLevel="0" collapsed="false">
      <c r="A7" s="8" t="s">
        <v>134</v>
      </c>
      <c r="B7" s="25" t="s">
        <v>135</v>
      </c>
      <c r="C7" s="25"/>
    </row>
    <row r="8" customFormat="false" ht="15" hidden="false" customHeight="true" outlineLevel="0" collapsed="false">
      <c r="A8" s="8" t="s">
        <v>136</v>
      </c>
      <c r="B8" s="26" t="s">
        <v>137</v>
      </c>
      <c r="C8" s="26"/>
    </row>
    <row r="10" customFormat="false" ht="15" hidden="false" customHeight="true" outlineLevel="0" collapsed="false">
      <c r="A10" s="23" t="s">
        <v>138</v>
      </c>
      <c r="B10" s="23"/>
      <c r="C10" s="23"/>
      <c r="D10" s="23"/>
      <c r="E10" s="23"/>
      <c r="F10" s="23"/>
      <c r="G10" s="23"/>
      <c r="H10" s="23"/>
    </row>
    <row r="11" customFormat="false" ht="15" hidden="false" customHeight="true" outlineLevel="0" collapsed="false">
      <c r="A11" s="24" t="s">
        <v>126</v>
      </c>
      <c r="B11" s="24" t="s">
        <v>127</v>
      </c>
      <c r="C11" s="24" t="s">
        <v>128</v>
      </c>
    </row>
    <row r="12" customFormat="false" ht="15" hidden="false" customHeight="true" outlineLevel="0" collapsed="false">
      <c r="A12" s="8" t="s">
        <v>139</v>
      </c>
      <c r="B12" s="26" t="s">
        <v>140</v>
      </c>
      <c r="C12" s="26"/>
    </row>
    <row r="13" customFormat="false" ht="15" hidden="false" customHeight="true" outlineLevel="0" collapsed="false">
      <c r="A13" s="8" t="s">
        <v>141</v>
      </c>
      <c r="B13" s="25" t="s">
        <v>142</v>
      </c>
      <c r="C13" s="25"/>
    </row>
    <row r="14" customFormat="false" ht="15" hidden="false" customHeight="true" outlineLevel="0" collapsed="false">
      <c r="A14" s="8" t="s">
        <v>143</v>
      </c>
      <c r="B14" s="26" t="s">
        <v>144</v>
      </c>
      <c r="C14" s="26"/>
    </row>
    <row r="15" customFormat="false" ht="15" hidden="false" customHeight="true" outlineLevel="0" collapsed="false">
      <c r="A15" s="8" t="s">
        <v>145</v>
      </c>
      <c r="B15" s="25" t="s">
        <v>144</v>
      </c>
      <c r="C15" s="25"/>
    </row>
    <row r="16" customFormat="false" ht="15" hidden="false" customHeight="true" outlineLevel="0" collapsed="false">
      <c r="A16" s="8" t="s">
        <v>146</v>
      </c>
      <c r="B16" s="26" t="s">
        <v>147</v>
      </c>
      <c r="C16" s="26"/>
    </row>
    <row r="17" customFormat="false" ht="15" hidden="false" customHeight="true" outlineLevel="0" collapsed="false">
      <c r="A17" s="8" t="s">
        <v>148</v>
      </c>
      <c r="B17" s="25" t="s">
        <v>149</v>
      </c>
      <c r="C17" s="25"/>
    </row>
    <row r="18" customFormat="false" ht="15" hidden="false" customHeight="true" outlineLevel="0" collapsed="false">
      <c r="A18" s="8" t="s">
        <v>150</v>
      </c>
      <c r="B18" s="26" t="s">
        <v>142</v>
      </c>
      <c r="C18" s="26"/>
    </row>
    <row r="20" customFormat="false" ht="15" hidden="false" customHeight="true" outlineLevel="0" collapsed="false">
      <c r="A20" s="23" t="s">
        <v>151</v>
      </c>
      <c r="B20" s="23"/>
      <c r="C20" s="23"/>
      <c r="D20" s="23"/>
      <c r="E20" s="23"/>
      <c r="F20" s="23"/>
      <c r="G20" s="23"/>
      <c r="H20" s="23"/>
    </row>
    <row r="21" customFormat="false" ht="15" hidden="false" customHeight="true" outlineLevel="0" collapsed="false">
      <c r="A21" s="24" t="s">
        <v>126</v>
      </c>
      <c r="B21" s="24" t="s">
        <v>127</v>
      </c>
      <c r="C21" s="24" t="s">
        <v>128</v>
      </c>
    </row>
    <row r="22" customFormat="false" ht="23.25" hidden="false" customHeight="true" outlineLevel="0" collapsed="false">
      <c r="A22" s="8" t="s">
        <v>152</v>
      </c>
      <c r="B22" s="26" t="s">
        <v>153</v>
      </c>
      <c r="C22" s="26" t="s">
        <v>154</v>
      </c>
    </row>
    <row r="23" customFormat="false" ht="23.25" hidden="false" customHeight="true" outlineLevel="0" collapsed="false">
      <c r="A23" s="8" t="s">
        <v>155</v>
      </c>
      <c r="B23" s="25" t="s">
        <v>156</v>
      </c>
      <c r="C23" s="25"/>
    </row>
    <row r="25" customFormat="false" ht="15" hidden="false" customHeight="true" outlineLevel="0" collapsed="false">
      <c r="A25" s="23" t="s">
        <v>157</v>
      </c>
      <c r="B25" s="23"/>
      <c r="C25" s="23"/>
      <c r="D25" s="23"/>
      <c r="E25" s="23"/>
      <c r="F25" s="23"/>
      <c r="G25" s="23"/>
      <c r="H25" s="23"/>
    </row>
    <row r="26" customFormat="false" ht="15" hidden="false" customHeight="true" outlineLevel="0" collapsed="false">
      <c r="A26" s="24" t="s">
        <v>126</v>
      </c>
      <c r="B26" s="24" t="s">
        <v>127</v>
      </c>
      <c r="C26" s="24" t="s">
        <v>158</v>
      </c>
    </row>
    <row r="27" customFormat="false" ht="15" hidden="false" customHeight="true" outlineLevel="0" collapsed="false">
      <c r="A27" s="8" t="s">
        <v>159</v>
      </c>
      <c r="B27" s="25" t="s">
        <v>160</v>
      </c>
      <c r="C27" s="25"/>
    </row>
    <row r="28" customFormat="false" ht="15" hidden="false" customHeight="true" outlineLevel="0" collapsed="false">
      <c r="A28" s="8" t="s">
        <v>161</v>
      </c>
      <c r="B28" s="26" t="s">
        <v>162</v>
      </c>
      <c r="C28" s="26"/>
    </row>
    <row r="29" customFormat="false" ht="15" hidden="false" customHeight="true" outlineLevel="0" collapsed="false">
      <c r="A29" s="8" t="s">
        <v>163</v>
      </c>
      <c r="B29" s="25" t="s">
        <v>164</v>
      </c>
      <c r="C29" s="25"/>
    </row>
    <row r="30" customFormat="false" ht="15" hidden="false" customHeight="true" outlineLevel="0" collapsed="false">
      <c r="A30" s="8" t="s">
        <v>165</v>
      </c>
      <c r="B30" s="26" t="s">
        <v>166</v>
      </c>
      <c r="C30" s="26"/>
    </row>
    <row r="31" customFormat="false" ht="15" hidden="false" customHeight="true" outlineLevel="0" collapsed="false">
      <c r="A31" s="8" t="s">
        <v>167</v>
      </c>
      <c r="B31" s="25" t="s">
        <v>168</v>
      </c>
      <c r="C31" s="25"/>
    </row>
    <row r="32" customFormat="false" ht="15" hidden="false" customHeight="true" outlineLevel="0" collapsed="false">
      <c r="A32" s="8" t="s">
        <v>169</v>
      </c>
      <c r="B32" s="26" t="s">
        <v>170</v>
      </c>
      <c r="C32" s="26"/>
    </row>
    <row r="33" customFormat="false" ht="15" hidden="false" customHeight="true" outlineLevel="0" collapsed="false">
      <c r="A33" s="8" t="s">
        <v>171</v>
      </c>
      <c r="B33" s="25" t="s">
        <v>172</v>
      </c>
      <c r="C33" s="25"/>
    </row>
    <row r="34" customFormat="false" ht="15" hidden="false" customHeight="true" outlineLevel="0" collapsed="false">
      <c r="A34" s="8" t="s">
        <v>173</v>
      </c>
      <c r="B34" s="26" t="s">
        <v>174</v>
      </c>
      <c r="C34" s="26"/>
    </row>
    <row r="35" customFormat="false" ht="15" hidden="false" customHeight="true" outlineLevel="0" collapsed="false">
      <c r="A35" s="8" t="s">
        <v>175</v>
      </c>
      <c r="B35" s="25" t="s">
        <v>176</v>
      </c>
      <c r="C35" s="25"/>
    </row>
    <row r="36" customFormat="false" ht="23.25" hidden="false" customHeight="true" outlineLevel="0" collapsed="false">
      <c r="A36" s="8" t="s">
        <v>177</v>
      </c>
      <c r="B36" s="26" t="s">
        <v>178</v>
      </c>
      <c r="C36" s="26"/>
    </row>
    <row r="37" customFormat="false" ht="15" hidden="false" customHeight="true" outlineLevel="0" collapsed="false">
      <c r="A37" s="8" t="s">
        <v>179</v>
      </c>
      <c r="B37" s="25" t="s">
        <v>180</v>
      </c>
      <c r="C37" s="25" t="s">
        <v>181</v>
      </c>
    </row>
    <row r="39" customFormat="false" ht="15" hidden="false" customHeight="true" outlineLevel="0" collapsed="false">
      <c r="A39" s="27" t="s">
        <v>182</v>
      </c>
      <c r="B39" s="27"/>
      <c r="C39" s="27"/>
      <c r="D39" s="27"/>
      <c r="E39" s="27"/>
      <c r="F39" s="27"/>
      <c r="G39" s="27"/>
      <c r="H39" s="27"/>
    </row>
    <row r="40" customFormat="false" ht="15" hidden="false" customHeight="true" outlineLevel="0" collapsed="false">
      <c r="A40" s="28" t="s">
        <v>183</v>
      </c>
      <c r="B40" s="29"/>
      <c r="C40" s="29"/>
      <c r="D40" s="19"/>
    </row>
    <row r="41" customFormat="false" ht="15" hidden="false" customHeight="true" outlineLevel="0" collapsed="false">
      <c r="A41" s="28" t="s">
        <v>184</v>
      </c>
      <c r="B41" s="29"/>
      <c r="C41" s="29"/>
      <c r="D41" s="30" t="str">
        <f aca="false">IF(D40="","",ROUND(EXP(-6.7256+(0.1082*D40))/(1+EXP(-6.7256+(0.1082*D40)))*100,1))</f>
        <v/>
      </c>
    </row>
    <row r="42" customFormat="false" ht="15" hidden="false" customHeight="true" outlineLevel="0" collapsed="false">
      <c r="A42" s="28" t="s">
        <v>185</v>
      </c>
      <c r="B42" s="29"/>
      <c r="C42" s="29"/>
      <c r="D42" s="31" t="str">
        <f aca="false">IF(D40="","",ROUND(EXP(-8.498+(0.1182*D40))/(1+EXP(-8.498+(0.1182*D40)))*100,1))</f>
        <v/>
      </c>
    </row>
    <row r="43" customFormat="false" ht="15" hidden="false" customHeight="true" outlineLevel="0" collapsed="false">
      <c r="A43" s="28" t="s">
        <v>186</v>
      </c>
      <c r="B43" s="29"/>
      <c r="C43" s="29"/>
      <c r="D43" s="28" t="str">
        <f aca="false">IF(D40="","",IF(D40&lt;29,"BAIXO",IF(D40&lt;43,"INTERMEDIÁRIO",IF(D40&lt;59,"ALTO","MUITO ALTO"))))</f>
        <v/>
      </c>
    </row>
    <row r="46" customFormat="false" ht="15" hidden="false" customHeight="true" outlineLevel="0" collapsed="false">
      <c r="A46" s="32" t="s">
        <v>187</v>
      </c>
      <c r="B46" s="32"/>
      <c r="C46" s="32"/>
      <c r="D46" s="32"/>
      <c r="E46" s="32"/>
      <c r="F46" s="32"/>
      <c r="G46" s="32"/>
      <c r="H46" s="32"/>
    </row>
    <row r="47" customFormat="false" ht="15" hidden="false" customHeight="true" outlineLevel="0" collapsed="false">
      <c r="A47" s="17" t="s">
        <v>86</v>
      </c>
      <c r="B47" s="17" t="s">
        <v>188</v>
      </c>
      <c r="C47" s="17" t="s">
        <v>189</v>
      </c>
      <c r="D47" s="17" t="s">
        <v>190</v>
      </c>
      <c r="E47" s="17" t="s">
        <v>191</v>
      </c>
      <c r="F47" s="33" t="s">
        <v>192</v>
      </c>
    </row>
    <row r="48" customFormat="false" ht="39.75" hidden="false" customHeight="true" outlineLevel="0" collapsed="false">
      <c r="A48" s="34" t="s">
        <v>193</v>
      </c>
      <c r="B48" s="35" t="s">
        <v>194</v>
      </c>
      <c r="C48" s="35" t="s">
        <v>195</v>
      </c>
      <c r="D48" s="35" t="s">
        <v>196</v>
      </c>
      <c r="E48" s="35" t="s">
        <v>197</v>
      </c>
      <c r="F48" s="19"/>
    </row>
    <row r="49" customFormat="false" ht="39.75" hidden="false" customHeight="true" outlineLevel="0" collapsed="false">
      <c r="A49" s="36" t="s">
        <v>198</v>
      </c>
      <c r="B49" s="37" t="s">
        <v>199</v>
      </c>
      <c r="C49" s="37" t="s">
        <v>200</v>
      </c>
      <c r="D49" s="37" t="s">
        <v>201</v>
      </c>
      <c r="E49" s="37" t="s">
        <v>202</v>
      </c>
      <c r="F49" s="19"/>
    </row>
    <row r="50" customFormat="false" ht="39.75" hidden="false" customHeight="true" outlineLevel="0" collapsed="false">
      <c r="A50" s="38" t="s">
        <v>203</v>
      </c>
      <c r="B50" s="39" t="s">
        <v>204</v>
      </c>
      <c r="C50" s="39" t="s">
        <v>205</v>
      </c>
      <c r="D50" s="39" t="s">
        <v>206</v>
      </c>
      <c r="E50" s="39" t="s">
        <v>207</v>
      </c>
      <c r="F50" s="19"/>
    </row>
    <row r="51" customFormat="false" ht="39.75" hidden="false" customHeight="true" outlineLevel="0" collapsed="false">
      <c r="A51" s="40" t="s">
        <v>208</v>
      </c>
      <c r="B51" s="41" t="s">
        <v>209</v>
      </c>
      <c r="C51" s="41" t="s">
        <v>210</v>
      </c>
      <c r="D51" s="41" t="s">
        <v>211</v>
      </c>
      <c r="E51" s="41" t="s">
        <v>212</v>
      </c>
      <c r="F51" s="19"/>
    </row>
  </sheetData>
  <mergeCells count="12">
    <mergeCell ref="A1:H1"/>
    <mergeCell ref="A2:H2"/>
    <mergeCell ref="A3:H3"/>
    <mergeCell ref="A10:H10"/>
    <mergeCell ref="A20:H20"/>
    <mergeCell ref="A25:H25"/>
    <mergeCell ref="A39:H39"/>
    <mergeCell ref="B40:C40"/>
    <mergeCell ref="B41:C41"/>
    <mergeCell ref="B42:C42"/>
    <mergeCell ref="B43:C43"/>
    <mergeCell ref="A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B00"/>
    <pageSetUpPr fitToPage="false"/>
  </sheetPr>
  <dimension ref="A1:N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10" min="9" style="1" width="14"/>
    <col collapsed="false" customWidth="true" hidden="false" outlineLevel="0" max="11" min="11" style="1" width="12"/>
    <col collapsed="false" customWidth="true" hidden="false" outlineLevel="0" max="12" min="12" style="1" width="40"/>
    <col collapsed="false" customWidth="true" hidden="false" outlineLevel="0" max="13" min="13" style="1" width="14"/>
    <col collapsed="false" customWidth="true" hidden="false" outlineLevel="0" max="14" min="14" style="1" width="30"/>
  </cols>
  <sheetData>
    <row r="1" customFormat="false" ht="27.75" hidden="false" customHeight="true" outlineLevel="0" collapsed="false">
      <c r="A1" s="42" t="s">
        <v>213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customFormat="false" ht="31.5" hidden="false" customHeight="true" outlineLevel="0" collapsed="false">
      <c r="A2" s="17" t="s">
        <v>76</v>
      </c>
      <c r="B2" s="17" t="s">
        <v>214</v>
      </c>
      <c r="C2" s="17" t="s">
        <v>215</v>
      </c>
      <c r="D2" s="17" t="s">
        <v>216</v>
      </c>
      <c r="E2" s="17" t="s">
        <v>217</v>
      </c>
      <c r="F2" s="17" t="s">
        <v>218</v>
      </c>
      <c r="G2" s="17" t="s">
        <v>219</v>
      </c>
      <c r="H2" s="17" t="s">
        <v>220</v>
      </c>
      <c r="I2" s="17" t="s">
        <v>221</v>
      </c>
      <c r="J2" s="17" t="s">
        <v>222</v>
      </c>
      <c r="K2" s="17" t="s">
        <v>223</v>
      </c>
      <c r="L2" s="17" t="s">
        <v>224</v>
      </c>
      <c r="M2" s="17" t="s">
        <v>8</v>
      </c>
      <c r="N2" s="17" t="s">
        <v>225</v>
      </c>
    </row>
    <row r="3" customFormat="false" ht="19.5" hidden="false" customHeight="true" outlineLevel="0" collapsed="false">
      <c r="A3" s="18" t="s">
        <v>103</v>
      </c>
      <c r="B3" s="19"/>
      <c r="C3" s="43" t="s">
        <v>226</v>
      </c>
      <c r="D3" s="43" t="s">
        <v>227</v>
      </c>
      <c r="E3" s="19"/>
      <c r="F3" s="18" t="str">
        <f aca="true">IF(E3="","",TODAY()-E3)</f>
        <v/>
      </c>
      <c r="G3" s="44" t="n">
        <v>14</v>
      </c>
      <c r="H3" s="45" t="str">
        <f aca="false">IF(E3="","",E3+G3)</f>
        <v/>
      </c>
      <c r="I3" s="19"/>
      <c r="J3" s="19"/>
      <c r="K3" s="19"/>
      <c r="L3" s="26" t="s">
        <v>228</v>
      </c>
      <c r="M3" s="46" t="str">
        <f aca="false">IF(E3="","—",IF(F3&gt;=G3,"🔴 VENCIDO",IF(F3&gt;=(G3-2),"🟡 REVISAR","🟢 OK")))</f>
        <v>—</v>
      </c>
      <c r="N3" s="19"/>
    </row>
    <row r="4" customFormat="false" ht="19.5" hidden="false" customHeight="true" outlineLevel="0" collapsed="false">
      <c r="A4" s="18" t="s">
        <v>103</v>
      </c>
      <c r="B4" s="19"/>
      <c r="C4" s="43" t="s">
        <v>229</v>
      </c>
      <c r="D4" s="43" t="s">
        <v>230</v>
      </c>
      <c r="E4" s="19"/>
      <c r="F4" s="18" t="str">
        <f aca="true">IF(E4="","",TODAY()-E4)</f>
        <v/>
      </c>
      <c r="G4" s="44" t="n">
        <v>7</v>
      </c>
      <c r="H4" s="45" t="str">
        <f aca="false">IF(E4="","",E4+G4)</f>
        <v/>
      </c>
      <c r="I4" s="19"/>
      <c r="J4" s="19"/>
      <c r="K4" s="19"/>
      <c r="L4" s="26" t="s">
        <v>231</v>
      </c>
      <c r="M4" s="46" t="str">
        <f aca="false">IF(E4="","—",IF(F4&gt;=G4,"🔴 VENCIDO",IF(F4&gt;=(G4-2),"🟡 REVISAR","🟢 OK")))</f>
        <v>—</v>
      </c>
      <c r="N4" s="19"/>
    </row>
    <row r="5" customFormat="false" ht="19.5" hidden="false" customHeight="true" outlineLevel="0" collapsed="false">
      <c r="A5" s="18" t="s">
        <v>103</v>
      </c>
      <c r="B5" s="19"/>
      <c r="C5" s="43" t="s">
        <v>232</v>
      </c>
      <c r="D5" s="43" t="s">
        <v>233</v>
      </c>
      <c r="E5" s="19"/>
      <c r="F5" s="18" t="str">
        <f aca="true">IF(E5="","",TODAY()-E5)</f>
        <v/>
      </c>
      <c r="G5" s="44" t="n">
        <v>30</v>
      </c>
      <c r="H5" s="45" t="str">
        <f aca="false">IF(E5="","",E5+G5)</f>
        <v/>
      </c>
      <c r="I5" s="19"/>
      <c r="J5" s="19"/>
      <c r="K5" s="19"/>
      <c r="L5" s="26" t="s">
        <v>234</v>
      </c>
      <c r="M5" s="46" t="str">
        <f aca="false">IF(E5="","—",IF(F5&gt;=G5,"🔴 VENCIDO",IF(F5&gt;=(G5-2),"🟡 REVISAR","🟢 OK")))</f>
        <v>—</v>
      </c>
      <c r="N5" s="19"/>
    </row>
    <row r="6" customFormat="false" ht="19.5" hidden="false" customHeight="true" outlineLevel="0" collapsed="false">
      <c r="A6" s="18" t="s">
        <v>103</v>
      </c>
      <c r="B6" s="19"/>
      <c r="C6" s="43" t="s">
        <v>235</v>
      </c>
      <c r="D6" s="43" t="s">
        <v>236</v>
      </c>
      <c r="E6" s="19"/>
      <c r="F6" s="18" t="str">
        <f aca="true">IF(E6="","",TODAY()-E6)</f>
        <v/>
      </c>
      <c r="G6" s="44" t="n">
        <v>30</v>
      </c>
      <c r="H6" s="45" t="str">
        <f aca="false">IF(E6="","",E6+G6)</f>
        <v/>
      </c>
      <c r="I6" s="19"/>
      <c r="J6" s="19"/>
      <c r="K6" s="19"/>
      <c r="L6" s="26" t="s">
        <v>237</v>
      </c>
      <c r="M6" s="46" t="str">
        <f aca="false">IF(E6="","—",IF(F6&gt;=G6,"🔴 VENCIDO",IF(F6&gt;=(G6-2),"🟡 REVISAR","🟢 OK")))</f>
        <v>—</v>
      </c>
      <c r="N6" s="19"/>
    </row>
    <row r="7" customFormat="false" ht="19.5" hidden="false" customHeight="true" outlineLevel="0" collapsed="false">
      <c r="A7" s="18" t="s">
        <v>103</v>
      </c>
      <c r="B7" s="19"/>
      <c r="C7" s="43" t="s">
        <v>238</v>
      </c>
      <c r="D7" s="43" t="s">
        <v>236</v>
      </c>
      <c r="E7" s="19"/>
      <c r="F7" s="18" t="str">
        <f aca="true">IF(E7="","",TODAY()-E7)</f>
        <v/>
      </c>
      <c r="G7" s="44" t="n">
        <v>14</v>
      </c>
      <c r="H7" s="45" t="str">
        <f aca="false">IF(E7="","",E7+G7)</f>
        <v/>
      </c>
      <c r="I7" s="19"/>
      <c r="J7" s="19"/>
      <c r="K7" s="19"/>
      <c r="L7" s="26" t="s">
        <v>239</v>
      </c>
      <c r="M7" s="46" t="str">
        <f aca="false">IF(E7="","—",IF(F7&gt;=G7,"🔴 VENCIDO",IF(F7&gt;=(G7-2),"🟡 REVISAR","🟢 OK")))</f>
        <v>—</v>
      </c>
      <c r="N7" s="19"/>
    </row>
    <row r="8" customFormat="false" ht="19.5" hidden="false" customHeight="true" outlineLevel="0" collapsed="false">
      <c r="A8" s="18" t="s">
        <v>103</v>
      </c>
      <c r="B8" s="19"/>
      <c r="C8" s="43" t="s">
        <v>240</v>
      </c>
      <c r="D8" s="43" t="s">
        <v>241</v>
      </c>
      <c r="E8" s="19"/>
      <c r="F8" s="18" t="str">
        <f aca="true">IF(E8="","",TODAY()-E8)</f>
        <v/>
      </c>
      <c r="G8" s="44" t="n">
        <v>21</v>
      </c>
      <c r="H8" s="45" t="str">
        <f aca="false">IF(E8="","",E8+G8)</f>
        <v/>
      </c>
      <c r="I8" s="19"/>
      <c r="J8" s="19"/>
      <c r="K8" s="19"/>
      <c r="L8" s="26" t="s">
        <v>242</v>
      </c>
      <c r="M8" s="46" t="str">
        <f aca="false">IF(E8="","—",IF(F8&gt;=G8,"🔴 VENCIDO",IF(F8&gt;=(G8-2),"🟡 REVISAR","🟢 OK")))</f>
        <v>—</v>
      </c>
      <c r="N8" s="19"/>
    </row>
    <row r="9" customFormat="false" ht="19.5" hidden="false" customHeight="true" outlineLevel="0" collapsed="false">
      <c r="A9" s="18" t="s">
        <v>103</v>
      </c>
      <c r="B9" s="19"/>
      <c r="C9" s="43" t="s">
        <v>243</v>
      </c>
      <c r="D9" s="43" t="s">
        <v>244</v>
      </c>
      <c r="E9" s="19"/>
      <c r="F9" s="18" t="str">
        <f aca="true">IF(E9="","",TODAY()-E9)</f>
        <v/>
      </c>
      <c r="G9" s="44" t="n">
        <v>30</v>
      </c>
      <c r="H9" s="45" t="str">
        <f aca="false">IF(E9="","",E9+G9)</f>
        <v/>
      </c>
      <c r="I9" s="19"/>
      <c r="J9" s="19"/>
      <c r="K9" s="19"/>
      <c r="L9" s="26" t="s">
        <v>245</v>
      </c>
      <c r="M9" s="46" t="str">
        <f aca="false">IF(E9="","—",IF(F9&gt;=G9,"🔴 VENCIDO",IF(F9&gt;=(G9-2),"🟡 REVISAR","🟢 OK")))</f>
        <v>—</v>
      </c>
      <c r="N9" s="19"/>
    </row>
    <row r="10" customFormat="false" ht="19.5" hidden="false" customHeight="true" outlineLevel="0" collapsed="false">
      <c r="A10" s="18" t="s">
        <v>103</v>
      </c>
      <c r="B10" s="19"/>
      <c r="C10" s="43" t="s">
        <v>246</v>
      </c>
      <c r="D10" s="43" t="s">
        <v>247</v>
      </c>
      <c r="E10" s="19"/>
      <c r="F10" s="18" t="str">
        <f aca="true">IF(E10="","",TODAY()-E10)</f>
        <v/>
      </c>
      <c r="G10" s="44" t="n">
        <v>14</v>
      </c>
      <c r="H10" s="45" t="str">
        <f aca="false">IF(E10="","",E10+G10)</f>
        <v/>
      </c>
      <c r="I10" s="19"/>
      <c r="J10" s="19"/>
      <c r="K10" s="19"/>
      <c r="L10" s="26" t="s">
        <v>248</v>
      </c>
      <c r="M10" s="46" t="str">
        <f aca="false">IF(E10="","—",IF(F10&gt;=G10,"🔴 VENCIDO",IF(F10&gt;=(G10-2),"🟡 REVISAR","🟢 OK")))</f>
        <v>—</v>
      </c>
      <c r="N10" s="19"/>
    </row>
    <row r="11" customFormat="false" ht="19.5" hidden="false" customHeight="true" outlineLevel="0" collapsed="false">
      <c r="A11" s="18" t="s">
        <v>103</v>
      </c>
      <c r="B11" s="19"/>
      <c r="C11" s="43" t="s">
        <v>249</v>
      </c>
      <c r="D11" s="43" t="s">
        <v>250</v>
      </c>
      <c r="E11" s="19"/>
      <c r="F11" s="18" t="str">
        <f aca="true">IF(E11="","",TODAY()-E11)</f>
        <v/>
      </c>
      <c r="G11" s="44" t="n">
        <v>14</v>
      </c>
      <c r="H11" s="45" t="str">
        <f aca="false">IF(E11="","",E11+G11)</f>
        <v/>
      </c>
      <c r="I11" s="19"/>
      <c r="J11" s="19"/>
      <c r="K11" s="19"/>
      <c r="L11" s="26" t="s">
        <v>251</v>
      </c>
      <c r="M11" s="46" t="str">
        <f aca="false">IF(E11="","—",IF(F11&gt;=G11,"🔴 VENCIDO",IF(F11&gt;=(G11-2),"🟡 REVISAR","🟢 OK")))</f>
        <v>—</v>
      </c>
      <c r="N11" s="19"/>
    </row>
    <row r="12" customFormat="false" ht="19.5" hidden="false" customHeight="true" outlineLevel="0" collapsed="false">
      <c r="A12" s="18" t="s">
        <v>103</v>
      </c>
      <c r="B12" s="19"/>
      <c r="C12" s="43" t="s">
        <v>252</v>
      </c>
      <c r="D12" s="43" t="s">
        <v>253</v>
      </c>
      <c r="E12" s="19"/>
      <c r="F12" s="18" t="str">
        <f aca="true">IF(E12="","",TODAY()-E12)</f>
        <v/>
      </c>
      <c r="G12" s="44" t="n">
        <v>14</v>
      </c>
      <c r="H12" s="45" t="str">
        <f aca="false">IF(E12="","",E12+G12)</f>
        <v/>
      </c>
      <c r="I12" s="19"/>
      <c r="J12" s="19"/>
      <c r="K12" s="19"/>
      <c r="L12" s="26" t="s">
        <v>254</v>
      </c>
      <c r="M12" s="46" t="str">
        <f aca="false">IF(E12="","—",IF(F12&gt;=G12,"🔴 VENCIDO",IF(F12&gt;=(G12-2),"🟡 REVISAR","🟢 OK")))</f>
        <v>—</v>
      </c>
      <c r="N12" s="19"/>
    </row>
    <row r="13" customFormat="false" ht="19.5" hidden="false" customHeight="true" outlineLevel="0" collapsed="false">
      <c r="A13" s="18" t="s">
        <v>103</v>
      </c>
      <c r="B13" s="19"/>
      <c r="C13" s="43" t="s">
        <v>255</v>
      </c>
      <c r="D13" s="43" t="s">
        <v>256</v>
      </c>
      <c r="E13" s="19"/>
      <c r="F13" s="18" t="str">
        <f aca="true">IF(E13="","",TODAY()-E13)</f>
        <v/>
      </c>
      <c r="G13" s="44" t="n">
        <v>90</v>
      </c>
      <c r="H13" s="45" t="str">
        <f aca="false">IF(E13="","",E13+G13)</f>
        <v/>
      </c>
      <c r="I13" s="19"/>
      <c r="J13" s="19"/>
      <c r="K13" s="19"/>
      <c r="L13" s="26" t="s">
        <v>257</v>
      </c>
      <c r="M13" s="46" t="str">
        <f aca="false">IF(E13="","—",IF(F13&gt;=G13,"🔴 VENCIDO",IF(F13&gt;=(G13-2),"🟡 REVISAR","🟢 OK")))</f>
        <v>—</v>
      </c>
      <c r="N13" s="19"/>
    </row>
    <row r="14" customFormat="false" ht="19.5" hidden="false" customHeight="true" outlineLevel="0" collapsed="false">
      <c r="A14" s="18" t="s">
        <v>103</v>
      </c>
      <c r="B14" s="19"/>
      <c r="C14" s="43" t="s">
        <v>258</v>
      </c>
      <c r="D14" s="43" t="s">
        <v>259</v>
      </c>
      <c r="E14" s="19"/>
      <c r="F14" s="18" t="str">
        <f aca="true">IF(E14="","",TODAY()-E14)</f>
        <v/>
      </c>
      <c r="G14" s="44" t="n">
        <v>4</v>
      </c>
      <c r="H14" s="45" t="str">
        <f aca="false">IF(E14="","",E14+G14)</f>
        <v/>
      </c>
      <c r="I14" s="19"/>
      <c r="J14" s="19"/>
      <c r="K14" s="19"/>
      <c r="L14" s="26" t="s">
        <v>260</v>
      </c>
      <c r="M14" s="46" t="str">
        <f aca="false">IF(E14="","—",IF(F14&gt;=G14,"🔴 VENCIDO",IF(F14&gt;=(G14-2),"🟡 REVISAR","🟢 OK")))</f>
        <v>—</v>
      </c>
      <c r="N14" s="19"/>
    </row>
    <row r="15" customFormat="false" ht="19.5" hidden="false" customHeight="true" outlineLevel="0" collapsed="false">
      <c r="A15" s="18" t="s">
        <v>103</v>
      </c>
      <c r="B15" s="19"/>
      <c r="C15" s="43" t="s">
        <v>261</v>
      </c>
      <c r="D15" s="43" t="s">
        <v>262</v>
      </c>
      <c r="E15" s="19"/>
      <c r="F15" s="18" t="str">
        <f aca="true">IF(E15="","",TODAY()-E15)</f>
        <v/>
      </c>
      <c r="G15" s="44" t="n">
        <v>2</v>
      </c>
      <c r="H15" s="45" t="str">
        <f aca="false">IF(E15="","",E15+G15)</f>
        <v/>
      </c>
      <c r="I15" s="19"/>
      <c r="J15" s="19"/>
      <c r="K15" s="19"/>
      <c r="L15" s="26" t="s">
        <v>263</v>
      </c>
      <c r="M15" s="46" t="str">
        <f aca="false">IF(E15="","—",IF(F15&gt;=G15,"🔴 VENCIDO",IF(F15&gt;=(G15-2),"🟡 REVISAR","🟢 OK")))</f>
        <v>—</v>
      </c>
      <c r="N15" s="19"/>
    </row>
    <row r="16" customFormat="false" ht="19.5" hidden="false" customHeight="true" outlineLevel="0" collapsed="false">
      <c r="A16" s="18" t="s">
        <v>103</v>
      </c>
      <c r="B16" s="19"/>
      <c r="C16" s="43" t="s">
        <v>264</v>
      </c>
      <c r="D16" s="43" t="s">
        <v>265</v>
      </c>
      <c r="E16" s="19"/>
      <c r="F16" s="18" t="str">
        <f aca="true">IF(E16="","",TODAY()-E16)</f>
        <v/>
      </c>
      <c r="G16" s="44" t="n">
        <v>7</v>
      </c>
      <c r="H16" s="45" t="str">
        <f aca="false">IF(E16="","",E16+G16)</f>
        <v/>
      </c>
      <c r="I16" s="19"/>
      <c r="J16" s="19"/>
      <c r="K16" s="19"/>
      <c r="L16" s="26" t="s">
        <v>266</v>
      </c>
      <c r="M16" s="46" t="str">
        <f aca="false">IF(E16="","—",IF(F16&gt;=G16,"🔴 VENCIDO",IF(F16&gt;=(G16-2),"🟡 REVISAR","🟢 OK")))</f>
        <v>—</v>
      </c>
      <c r="N16" s="19"/>
    </row>
    <row r="17" customFormat="false" ht="19.5" hidden="false" customHeight="true" outlineLevel="0" collapsed="false">
      <c r="A17" s="18" t="s">
        <v>103</v>
      </c>
      <c r="B17" s="19"/>
      <c r="C17" s="43" t="s">
        <v>267</v>
      </c>
      <c r="D17" s="43" t="s">
        <v>268</v>
      </c>
      <c r="E17" s="19"/>
      <c r="F17" s="18" t="str">
        <f aca="true">IF(E17="","",TODAY()-E17)</f>
        <v/>
      </c>
      <c r="G17" s="44" t="n">
        <v>14</v>
      </c>
      <c r="H17" s="45" t="str">
        <f aca="false">IF(E17="","",E17+G17)</f>
        <v/>
      </c>
      <c r="I17" s="19"/>
      <c r="J17" s="19"/>
      <c r="K17" s="19"/>
      <c r="L17" s="26" t="s">
        <v>269</v>
      </c>
      <c r="M17" s="46" t="str">
        <f aca="false">IF(E17="","—",IF(F17&gt;=G17,"🔴 VENCIDO",IF(F17&gt;=(G17-2),"🟡 REVISAR","🟢 OK")))</f>
        <v>—</v>
      </c>
      <c r="N17" s="19"/>
    </row>
    <row r="18" customFormat="false" ht="19.5" hidden="false" customHeight="true" outlineLevel="0" collapsed="false">
      <c r="A18" s="18" t="s">
        <v>103</v>
      </c>
      <c r="B18" s="19"/>
      <c r="C18" s="43" t="s">
        <v>270</v>
      </c>
      <c r="D18" s="43" t="s">
        <v>271</v>
      </c>
      <c r="E18" s="19"/>
      <c r="F18" s="18" t="str">
        <f aca="true">IF(E18="","",TODAY()-E18)</f>
        <v/>
      </c>
      <c r="G18" s="44" t="n">
        <v>7</v>
      </c>
      <c r="H18" s="45" t="str">
        <f aca="false">IF(E18="","",E18+G18)</f>
        <v/>
      </c>
      <c r="I18" s="19"/>
      <c r="J18" s="19"/>
      <c r="K18" s="19"/>
      <c r="L18" s="26" t="s">
        <v>239</v>
      </c>
      <c r="M18" s="46" t="str">
        <f aca="false">IF(E18="","—",IF(F18&gt;=G18,"🔴 VENCIDO",IF(F18&gt;=(G18-2),"🟡 REVISAR","🟢 OK")))</f>
        <v>—</v>
      </c>
      <c r="N18" s="19"/>
    </row>
    <row r="19" customFormat="false" ht="19.5" hidden="false" customHeight="true" outlineLevel="0" collapsed="false">
      <c r="A19" s="18" t="s">
        <v>103</v>
      </c>
      <c r="B19" s="19"/>
      <c r="C19" s="43" t="s">
        <v>272</v>
      </c>
      <c r="D19" s="43" t="s">
        <v>273</v>
      </c>
      <c r="E19" s="19"/>
      <c r="F19" s="18" t="str">
        <f aca="true">IF(E19="","",TODAY()-E19)</f>
        <v/>
      </c>
      <c r="G19" s="44" t="n">
        <v>90</v>
      </c>
      <c r="H19" s="45" t="str">
        <f aca="false">IF(E19="","",E19+G19)</f>
        <v/>
      </c>
      <c r="I19" s="19"/>
      <c r="J19" s="19"/>
      <c r="K19" s="19"/>
      <c r="L19" s="26" t="s">
        <v>274</v>
      </c>
      <c r="M19" s="46" t="str">
        <f aca="false">IF(E19="","—",IF(F19&gt;=G19,"🔴 VENCIDO",IF(F19&gt;=(G19-2),"🟡 REVISAR","🟢 OK")))</f>
        <v>—</v>
      </c>
      <c r="N19" s="19"/>
    </row>
    <row r="20" customFormat="false" ht="19.5" hidden="false" customHeight="true" outlineLevel="0" collapsed="false">
      <c r="A20" s="18" t="s">
        <v>103</v>
      </c>
      <c r="B20" s="19"/>
      <c r="C20" s="43" t="s">
        <v>275</v>
      </c>
      <c r="D20" s="43" t="s">
        <v>276</v>
      </c>
      <c r="E20" s="19"/>
      <c r="F20" s="18" t="str">
        <f aca="true">IF(E20="","",TODAY()-E20)</f>
        <v/>
      </c>
      <c r="G20" s="44" t="n">
        <v>21</v>
      </c>
      <c r="H20" s="45" t="str">
        <f aca="false">IF(E20="","",E20+G20)</f>
        <v/>
      </c>
      <c r="I20" s="19"/>
      <c r="J20" s="19"/>
      <c r="K20" s="19"/>
      <c r="L20" s="26" t="s">
        <v>277</v>
      </c>
      <c r="M20" s="46" t="str">
        <f aca="false">IF(E20="","—",IF(F20&gt;=G20,"🔴 VENCIDO",IF(F20&gt;=(G20-2),"🟡 REVISAR","🟢 OK")))</f>
        <v>—</v>
      </c>
      <c r="N20" s="19"/>
    </row>
    <row r="21" customFormat="false" ht="6" hidden="false" customHeight="true" outlineLevel="0" collapsed="false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</row>
    <row r="22" customFormat="false" ht="19.5" hidden="false" customHeight="true" outlineLevel="0" collapsed="false">
      <c r="A22" s="18" t="s">
        <v>104</v>
      </c>
      <c r="B22" s="19"/>
      <c r="C22" s="43" t="s">
        <v>226</v>
      </c>
      <c r="D22" s="43" t="s">
        <v>227</v>
      </c>
      <c r="E22" s="19"/>
      <c r="F22" s="18" t="str">
        <f aca="true">IF(E22="","",TODAY()-E22)</f>
        <v/>
      </c>
      <c r="G22" s="44" t="n">
        <v>14</v>
      </c>
      <c r="H22" s="45" t="str">
        <f aca="false">IF(E22="","",E22+G22)</f>
        <v/>
      </c>
      <c r="I22" s="19"/>
      <c r="J22" s="19"/>
      <c r="K22" s="19"/>
      <c r="L22" s="26" t="s">
        <v>228</v>
      </c>
      <c r="M22" s="46" t="str">
        <f aca="false">IF(E22="","—",IF(F22&gt;=G22,"🔴 VENCIDO",IF(F22&gt;=(G22-2),"🟡 REVISAR","🟢 OK")))</f>
        <v>—</v>
      </c>
      <c r="N22" s="19"/>
    </row>
    <row r="23" customFormat="false" ht="19.5" hidden="false" customHeight="true" outlineLevel="0" collapsed="false">
      <c r="A23" s="18" t="s">
        <v>104</v>
      </c>
      <c r="B23" s="19"/>
      <c r="C23" s="43" t="s">
        <v>229</v>
      </c>
      <c r="D23" s="43" t="s">
        <v>230</v>
      </c>
      <c r="E23" s="19"/>
      <c r="F23" s="18" t="str">
        <f aca="true">IF(E23="","",TODAY()-E23)</f>
        <v/>
      </c>
      <c r="G23" s="44" t="n">
        <v>7</v>
      </c>
      <c r="H23" s="45" t="str">
        <f aca="false">IF(E23="","",E23+G23)</f>
        <v/>
      </c>
      <c r="I23" s="19"/>
      <c r="J23" s="19"/>
      <c r="K23" s="19"/>
      <c r="L23" s="26" t="s">
        <v>231</v>
      </c>
      <c r="M23" s="46" t="str">
        <f aca="false">IF(E23="","—",IF(F23&gt;=G23,"🔴 VENCIDO",IF(F23&gt;=(G23-2),"🟡 REVISAR","🟢 OK")))</f>
        <v>—</v>
      </c>
      <c r="N23" s="19"/>
    </row>
    <row r="24" customFormat="false" ht="19.5" hidden="false" customHeight="true" outlineLevel="0" collapsed="false">
      <c r="A24" s="18" t="s">
        <v>104</v>
      </c>
      <c r="B24" s="19"/>
      <c r="C24" s="43" t="s">
        <v>232</v>
      </c>
      <c r="D24" s="43" t="s">
        <v>233</v>
      </c>
      <c r="E24" s="19"/>
      <c r="F24" s="18" t="str">
        <f aca="true">IF(E24="","",TODAY()-E24)</f>
        <v/>
      </c>
      <c r="G24" s="44" t="n">
        <v>30</v>
      </c>
      <c r="H24" s="45" t="str">
        <f aca="false">IF(E24="","",E24+G24)</f>
        <v/>
      </c>
      <c r="I24" s="19"/>
      <c r="J24" s="19"/>
      <c r="K24" s="19"/>
      <c r="L24" s="26" t="s">
        <v>234</v>
      </c>
      <c r="M24" s="46" t="str">
        <f aca="false">IF(E24="","—",IF(F24&gt;=G24,"🔴 VENCIDO",IF(F24&gt;=(G24-2),"🟡 REVISAR","🟢 OK")))</f>
        <v>—</v>
      </c>
      <c r="N24" s="19"/>
    </row>
    <row r="25" customFormat="false" ht="19.5" hidden="false" customHeight="true" outlineLevel="0" collapsed="false">
      <c r="A25" s="18" t="s">
        <v>104</v>
      </c>
      <c r="B25" s="19"/>
      <c r="C25" s="43" t="s">
        <v>235</v>
      </c>
      <c r="D25" s="43" t="s">
        <v>236</v>
      </c>
      <c r="E25" s="19"/>
      <c r="F25" s="18" t="str">
        <f aca="true">IF(E25="","",TODAY()-E25)</f>
        <v/>
      </c>
      <c r="G25" s="44" t="n">
        <v>30</v>
      </c>
      <c r="H25" s="45" t="str">
        <f aca="false">IF(E25="","",E25+G25)</f>
        <v/>
      </c>
      <c r="I25" s="19"/>
      <c r="J25" s="19"/>
      <c r="K25" s="19"/>
      <c r="L25" s="26" t="s">
        <v>237</v>
      </c>
      <c r="M25" s="46" t="str">
        <f aca="false">IF(E25="","—",IF(F25&gt;=G25,"🔴 VENCIDO",IF(F25&gt;=(G25-2),"🟡 REVISAR","🟢 OK")))</f>
        <v>—</v>
      </c>
      <c r="N25" s="19"/>
    </row>
    <row r="26" customFormat="false" ht="19.5" hidden="false" customHeight="true" outlineLevel="0" collapsed="false">
      <c r="A26" s="18" t="s">
        <v>104</v>
      </c>
      <c r="B26" s="19"/>
      <c r="C26" s="43" t="s">
        <v>238</v>
      </c>
      <c r="D26" s="43" t="s">
        <v>236</v>
      </c>
      <c r="E26" s="19"/>
      <c r="F26" s="18" t="str">
        <f aca="true">IF(E26="","",TODAY()-E26)</f>
        <v/>
      </c>
      <c r="G26" s="44" t="n">
        <v>14</v>
      </c>
      <c r="H26" s="45" t="str">
        <f aca="false">IF(E26="","",E26+G26)</f>
        <v/>
      </c>
      <c r="I26" s="19"/>
      <c r="J26" s="19"/>
      <c r="K26" s="19"/>
      <c r="L26" s="26" t="s">
        <v>239</v>
      </c>
      <c r="M26" s="46" t="str">
        <f aca="false">IF(E26="","—",IF(F26&gt;=G26,"🔴 VENCIDO",IF(F26&gt;=(G26-2),"🟡 REVISAR","🟢 OK")))</f>
        <v>—</v>
      </c>
      <c r="N26" s="19"/>
    </row>
    <row r="27" customFormat="false" ht="19.5" hidden="false" customHeight="true" outlineLevel="0" collapsed="false">
      <c r="A27" s="18" t="s">
        <v>104</v>
      </c>
      <c r="B27" s="19"/>
      <c r="C27" s="43" t="s">
        <v>240</v>
      </c>
      <c r="D27" s="43" t="s">
        <v>241</v>
      </c>
      <c r="E27" s="19"/>
      <c r="F27" s="18" t="str">
        <f aca="true">IF(E27="","",TODAY()-E27)</f>
        <v/>
      </c>
      <c r="G27" s="44" t="n">
        <v>21</v>
      </c>
      <c r="H27" s="45" t="str">
        <f aca="false">IF(E27="","",E27+G27)</f>
        <v/>
      </c>
      <c r="I27" s="19"/>
      <c r="J27" s="19"/>
      <c r="K27" s="19"/>
      <c r="L27" s="26" t="s">
        <v>242</v>
      </c>
      <c r="M27" s="46" t="str">
        <f aca="false">IF(E27="","—",IF(F27&gt;=G27,"🔴 VENCIDO",IF(F27&gt;=(G27-2),"🟡 REVISAR","🟢 OK")))</f>
        <v>—</v>
      </c>
      <c r="N27" s="19"/>
    </row>
    <row r="28" customFormat="false" ht="19.5" hidden="false" customHeight="true" outlineLevel="0" collapsed="false">
      <c r="A28" s="18" t="s">
        <v>104</v>
      </c>
      <c r="B28" s="19"/>
      <c r="C28" s="43" t="s">
        <v>243</v>
      </c>
      <c r="D28" s="43" t="s">
        <v>244</v>
      </c>
      <c r="E28" s="19"/>
      <c r="F28" s="18" t="str">
        <f aca="true">IF(E28="","",TODAY()-E28)</f>
        <v/>
      </c>
      <c r="G28" s="44" t="n">
        <v>30</v>
      </c>
      <c r="H28" s="45" t="str">
        <f aca="false">IF(E28="","",E28+G28)</f>
        <v/>
      </c>
      <c r="I28" s="19"/>
      <c r="J28" s="19"/>
      <c r="K28" s="19"/>
      <c r="L28" s="26" t="s">
        <v>245</v>
      </c>
      <c r="M28" s="46" t="str">
        <f aca="false">IF(E28="","—",IF(F28&gt;=G28,"🔴 VENCIDO",IF(F28&gt;=(G28-2),"🟡 REVISAR","🟢 OK")))</f>
        <v>—</v>
      </c>
      <c r="N28" s="19"/>
    </row>
    <row r="29" customFormat="false" ht="19.5" hidden="false" customHeight="true" outlineLevel="0" collapsed="false">
      <c r="A29" s="18" t="s">
        <v>104</v>
      </c>
      <c r="B29" s="19"/>
      <c r="C29" s="43" t="s">
        <v>246</v>
      </c>
      <c r="D29" s="43" t="s">
        <v>247</v>
      </c>
      <c r="E29" s="19"/>
      <c r="F29" s="18" t="str">
        <f aca="true">IF(E29="","",TODAY()-E29)</f>
        <v/>
      </c>
      <c r="G29" s="44" t="n">
        <v>14</v>
      </c>
      <c r="H29" s="45" t="str">
        <f aca="false">IF(E29="","",E29+G29)</f>
        <v/>
      </c>
      <c r="I29" s="19"/>
      <c r="J29" s="19"/>
      <c r="K29" s="19"/>
      <c r="L29" s="26" t="s">
        <v>248</v>
      </c>
      <c r="M29" s="46" t="str">
        <f aca="false">IF(E29="","—",IF(F29&gt;=G29,"🔴 VENCIDO",IF(F29&gt;=(G29-2),"🟡 REVISAR","🟢 OK")))</f>
        <v>—</v>
      </c>
      <c r="N29" s="19"/>
    </row>
    <row r="30" customFormat="false" ht="19.5" hidden="false" customHeight="true" outlineLevel="0" collapsed="false">
      <c r="A30" s="18" t="s">
        <v>104</v>
      </c>
      <c r="B30" s="19"/>
      <c r="C30" s="43" t="s">
        <v>249</v>
      </c>
      <c r="D30" s="43" t="s">
        <v>250</v>
      </c>
      <c r="E30" s="19"/>
      <c r="F30" s="18" t="str">
        <f aca="true">IF(E30="","",TODAY()-E30)</f>
        <v/>
      </c>
      <c r="G30" s="44" t="n">
        <v>14</v>
      </c>
      <c r="H30" s="45" t="str">
        <f aca="false">IF(E30="","",E30+G30)</f>
        <v/>
      </c>
      <c r="I30" s="19"/>
      <c r="J30" s="19"/>
      <c r="K30" s="19"/>
      <c r="L30" s="26" t="s">
        <v>251</v>
      </c>
      <c r="M30" s="46" t="str">
        <f aca="false">IF(E30="","—",IF(F30&gt;=G30,"🔴 VENCIDO",IF(F30&gt;=(G30-2),"🟡 REVISAR","🟢 OK")))</f>
        <v>—</v>
      </c>
      <c r="N30" s="19"/>
    </row>
    <row r="31" customFormat="false" ht="19.5" hidden="false" customHeight="true" outlineLevel="0" collapsed="false">
      <c r="A31" s="18" t="s">
        <v>104</v>
      </c>
      <c r="B31" s="19"/>
      <c r="C31" s="43" t="s">
        <v>252</v>
      </c>
      <c r="D31" s="43" t="s">
        <v>253</v>
      </c>
      <c r="E31" s="19"/>
      <c r="F31" s="18" t="str">
        <f aca="true">IF(E31="","",TODAY()-E31)</f>
        <v/>
      </c>
      <c r="G31" s="44" t="n">
        <v>14</v>
      </c>
      <c r="H31" s="45" t="str">
        <f aca="false">IF(E31="","",E31+G31)</f>
        <v/>
      </c>
      <c r="I31" s="19"/>
      <c r="J31" s="19"/>
      <c r="K31" s="19"/>
      <c r="L31" s="26" t="s">
        <v>254</v>
      </c>
      <c r="M31" s="46" t="str">
        <f aca="false">IF(E31="","—",IF(F31&gt;=G31,"🔴 VENCIDO",IF(F31&gt;=(G31-2),"🟡 REVISAR","🟢 OK")))</f>
        <v>—</v>
      </c>
      <c r="N31" s="19"/>
    </row>
    <row r="32" customFormat="false" ht="19.5" hidden="false" customHeight="true" outlineLevel="0" collapsed="false">
      <c r="A32" s="18" t="s">
        <v>104</v>
      </c>
      <c r="B32" s="19"/>
      <c r="C32" s="43" t="s">
        <v>255</v>
      </c>
      <c r="D32" s="43" t="s">
        <v>256</v>
      </c>
      <c r="E32" s="19"/>
      <c r="F32" s="18" t="str">
        <f aca="true">IF(E32="","",TODAY()-E32)</f>
        <v/>
      </c>
      <c r="G32" s="44" t="n">
        <v>90</v>
      </c>
      <c r="H32" s="45" t="str">
        <f aca="false">IF(E32="","",E32+G32)</f>
        <v/>
      </c>
      <c r="I32" s="19"/>
      <c r="J32" s="19"/>
      <c r="K32" s="19"/>
      <c r="L32" s="26" t="s">
        <v>257</v>
      </c>
      <c r="M32" s="46" t="str">
        <f aca="false">IF(E32="","—",IF(F32&gt;=G32,"🔴 VENCIDO",IF(F32&gt;=(G32-2),"🟡 REVISAR","🟢 OK")))</f>
        <v>—</v>
      </c>
      <c r="N32" s="19"/>
    </row>
    <row r="33" customFormat="false" ht="19.5" hidden="false" customHeight="true" outlineLevel="0" collapsed="false">
      <c r="A33" s="18" t="s">
        <v>104</v>
      </c>
      <c r="B33" s="19"/>
      <c r="C33" s="43" t="s">
        <v>258</v>
      </c>
      <c r="D33" s="43" t="s">
        <v>259</v>
      </c>
      <c r="E33" s="19"/>
      <c r="F33" s="18" t="str">
        <f aca="true">IF(E33="","",TODAY()-E33)</f>
        <v/>
      </c>
      <c r="G33" s="44" t="n">
        <v>4</v>
      </c>
      <c r="H33" s="45" t="str">
        <f aca="false">IF(E33="","",E33+G33)</f>
        <v/>
      </c>
      <c r="I33" s="19"/>
      <c r="J33" s="19"/>
      <c r="K33" s="19"/>
      <c r="L33" s="26" t="s">
        <v>260</v>
      </c>
      <c r="M33" s="46" t="str">
        <f aca="false">IF(E33="","—",IF(F33&gt;=G33,"🔴 VENCIDO",IF(F33&gt;=(G33-2),"🟡 REVISAR","🟢 OK")))</f>
        <v>—</v>
      </c>
      <c r="N33" s="19"/>
    </row>
    <row r="34" customFormat="false" ht="19.5" hidden="false" customHeight="true" outlineLevel="0" collapsed="false">
      <c r="A34" s="18" t="s">
        <v>104</v>
      </c>
      <c r="B34" s="19"/>
      <c r="C34" s="43" t="s">
        <v>261</v>
      </c>
      <c r="D34" s="43" t="s">
        <v>262</v>
      </c>
      <c r="E34" s="19"/>
      <c r="F34" s="18" t="str">
        <f aca="true">IF(E34="","",TODAY()-E34)</f>
        <v/>
      </c>
      <c r="G34" s="44" t="n">
        <v>2</v>
      </c>
      <c r="H34" s="45" t="str">
        <f aca="false">IF(E34="","",E34+G34)</f>
        <v/>
      </c>
      <c r="I34" s="19"/>
      <c r="J34" s="19"/>
      <c r="K34" s="19"/>
      <c r="L34" s="26" t="s">
        <v>263</v>
      </c>
      <c r="M34" s="46" t="str">
        <f aca="false">IF(E34="","—",IF(F34&gt;=G34,"🔴 VENCIDO",IF(F34&gt;=(G34-2),"🟡 REVISAR","🟢 OK")))</f>
        <v>—</v>
      </c>
      <c r="N34" s="19"/>
    </row>
    <row r="35" customFormat="false" ht="19.5" hidden="false" customHeight="true" outlineLevel="0" collapsed="false">
      <c r="A35" s="18" t="s">
        <v>104</v>
      </c>
      <c r="B35" s="19"/>
      <c r="C35" s="43" t="s">
        <v>264</v>
      </c>
      <c r="D35" s="43" t="s">
        <v>265</v>
      </c>
      <c r="E35" s="19"/>
      <c r="F35" s="18" t="str">
        <f aca="true">IF(E35="","",TODAY()-E35)</f>
        <v/>
      </c>
      <c r="G35" s="44" t="n">
        <v>7</v>
      </c>
      <c r="H35" s="45" t="str">
        <f aca="false">IF(E35="","",E35+G35)</f>
        <v/>
      </c>
      <c r="I35" s="19"/>
      <c r="J35" s="19"/>
      <c r="K35" s="19"/>
      <c r="L35" s="26" t="s">
        <v>266</v>
      </c>
      <c r="M35" s="46" t="str">
        <f aca="false">IF(E35="","—",IF(F35&gt;=G35,"🔴 VENCIDO",IF(F35&gt;=(G35-2),"🟡 REVISAR","🟢 OK")))</f>
        <v>—</v>
      </c>
      <c r="N35" s="19"/>
    </row>
    <row r="36" customFormat="false" ht="19.5" hidden="false" customHeight="true" outlineLevel="0" collapsed="false">
      <c r="A36" s="18" t="s">
        <v>104</v>
      </c>
      <c r="B36" s="19"/>
      <c r="C36" s="43" t="s">
        <v>267</v>
      </c>
      <c r="D36" s="43" t="s">
        <v>268</v>
      </c>
      <c r="E36" s="19"/>
      <c r="F36" s="18" t="str">
        <f aca="true">IF(E36="","",TODAY()-E36)</f>
        <v/>
      </c>
      <c r="G36" s="44" t="n">
        <v>14</v>
      </c>
      <c r="H36" s="45" t="str">
        <f aca="false">IF(E36="","",E36+G36)</f>
        <v/>
      </c>
      <c r="I36" s="19"/>
      <c r="J36" s="19"/>
      <c r="K36" s="19"/>
      <c r="L36" s="26" t="s">
        <v>269</v>
      </c>
      <c r="M36" s="46" t="str">
        <f aca="false">IF(E36="","—",IF(F36&gt;=G36,"🔴 VENCIDO",IF(F36&gt;=(G36-2),"🟡 REVISAR","🟢 OK")))</f>
        <v>—</v>
      </c>
      <c r="N36" s="19"/>
    </row>
    <row r="37" customFormat="false" ht="19.5" hidden="false" customHeight="true" outlineLevel="0" collapsed="false">
      <c r="A37" s="18" t="s">
        <v>104</v>
      </c>
      <c r="B37" s="19"/>
      <c r="C37" s="43" t="s">
        <v>270</v>
      </c>
      <c r="D37" s="43" t="s">
        <v>271</v>
      </c>
      <c r="E37" s="19"/>
      <c r="F37" s="18" t="str">
        <f aca="true">IF(E37="","",TODAY()-E37)</f>
        <v/>
      </c>
      <c r="G37" s="44" t="n">
        <v>7</v>
      </c>
      <c r="H37" s="45" t="str">
        <f aca="false">IF(E37="","",E37+G37)</f>
        <v/>
      </c>
      <c r="I37" s="19"/>
      <c r="J37" s="19"/>
      <c r="K37" s="19"/>
      <c r="L37" s="26" t="s">
        <v>239</v>
      </c>
      <c r="M37" s="46" t="str">
        <f aca="false">IF(E37="","—",IF(F37&gt;=G37,"🔴 VENCIDO",IF(F37&gt;=(G37-2),"🟡 REVISAR","🟢 OK")))</f>
        <v>—</v>
      </c>
      <c r="N37" s="19"/>
    </row>
    <row r="38" customFormat="false" ht="19.5" hidden="false" customHeight="true" outlineLevel="0" collapsed="false">
      <c r="A38" s="18" t="s">
        <v>104</v>
      </c>
      <c r="B38" s="19"/>
      <c r="C38" s="43" t="s">
        <v>272</v>
      </c>
      <c r="D38" s="43" t="s">
        <v>273</v>
      </c>
      <c r="E38" s="19"/>
      <c r="F38" s="18" t="str">
        <f aca="true">IF(E38="","",TODAY()-E38)</f>
        <v/>
      </c>
      <c r="G38" s="44" t="n">
        <v>90</v>
      </c>
      <c r="H38" s="45" t="str">
        <f aca="false">IF(E38="","",E38+G38)</f>
        <v/>
      </c>
      <c r="I38" s="19"/>
      <c r="J38" s="19"/>
      <c r="K38" s="19"/>
      <c r="L38" s="26" t="s">
        <v>274</v>
      </c>
      <c r="M38" s="46" t="str">
        <f aca="false">IF(E38="","—",IF(F38&gt;=G38,"🔴 VENCIDO",IF(F38&gt;=(G38-2),"🟡 REVISAR","🟢 OK")))</f>
        <v>—</v>
      </c>
      <c r="N38" s="19"/>
    </row>
    <row r="39" customFormat="false" ht="19.5" hidden="false" customHeight="true" outlineLevel="0" collapsed="false">
      <c r="A39" s="18" t="s">
        <v>104</v>
      </c>
      <c r="B39" s="19"/>
      <c r="C39" s="43" t="s">
        <v>275</v>
      </c>
      <c r="D39" s="43" t="s">
        <v>276</v>
      </c>
      <c r="E39" s="19"/>
      <c r="F39" s="18" t="str">
        <f aca="true">IF(E39="","",TODAY()-E39)</f>
        <v/>
      </c>
      <c r="G39" s="44" t="n">
        <v>21</v>
      </c>
      <c r="H39" s="45" t="str">
        <f aca="false">IF(E39="","",E39+G39)</f>
        <v/>
      </c>
      <c r="I39" s="19"/>
      <c r="J39" s="19"/>
      <c r="K39" s="19"/>
      <c r="L39" s="26" t="s">
        <v>277</v>
      </c>
      <c r="M39" s="46" t="str">
        <f aca="false">IF(E39="","—",IF(F39&gt;=G39,"🔴 VENCIDO",IF(F39&gt;=(G39-2),"🟡 REVISAR","🟢 OK")))</f>
        <v>—</v>
      </c>
      <c r="N39" s="19"/>
    </row>
    <row r="40" customFormat="false" ht="6" hidden="false" customHeight="true" outlineLevel="0" collapsed="false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</row>
    <row r="41" customFormat="false" ht="19.5" hidden="false" customHeight="true" outlineLevel="0" collapsed="false">
      <c r="A41" s="18" t="s">
        <v>105</v>
      </c>
      <c r="B41" s="19"/>
      <c r="C41" s="43" t="s">
        <v>226</v>
      </c>
      <c r="D41" s="43" t="s">
        <v>227</v>
      </c>
      <c r="E41" s="19"/>
      <c r="F41" s="18" t="str">
        <f aca="true">IF(E41="","",TODAY()-E41)</f>
        <v/>
      </c>
      <c r="G41" s="44" t="n">
        <v>14</v>
      </c>
      <c r="H41" s="45" t="str">
        <f aca="false">IF(E41="","",E41+G41)</f>
        <v/>
      </c>
      <c r="I41" s="19"/>
      <c r="J41" s="19"/>
      <c r="K41" s="19"/>
      <c r="L41" s="26" t="s">
        <v>228</v>
      </c>
      <c r="M41" s="46" t="str">
        <f aca="false">IF(E41="","—",IF(F41&gt;=G41,"🔴 VENCIDO",IF(F41&gt;=(G41-2),"🟡 REVISAR","🟢 OK")))</f>
        <v>—</v>
      </c>
      <c r="N41" s="19"/>
    </row>
    <row r="42" customFormat="false" ht="19.5" hidden="false" customHeight="true" outlineLevel="0" collapsed="false">
      <c r="A42" s="18" t="s">
        <v>105</v>
      </c>
      <c r="B42" s="19"/>
      <c r="C42" s="43" t="s">
        <v>229</v>
      </c>
      <c r="D42" s="43" t="s">
        <v>230</v>
      </c>
      <c r="E42" s="19"/>
      <c r="F42" s="18" t="str">
        <f aca="true">IF(E42="","",TODAY()-E42)</f>
        <v/>
      </c>
      <c r="G42" s="44" t="n">
        <v>7</v>
      </c>
      <c r="H42" s="45" t="str">
        <f aca="false">IF(E42="","",E42+G42)</f>
        <v/>
      </c>
      <c r="I42" s="19"/>
      <c r="J42" s="19"/>
      <c r="K42" s="19"/>
      <c r="L42" s="26" t="s">
        <v>231</v>
      </c>
      <c r="M42" s="46" t="str">
        <f aca="false">IF(E42="","—",IF(F42&gt;=G42,"🔴 VENCIDO",IF(F42&gt;=(G42-2),"🟡 REVISAR","🟢 OK")))</f>
        <v>—</v>
      </c>
      <c r="N42" s="19"/>
    </row>
    <row r="43" customFormat="false" ht="19.5" hidden="false" customHeight="true" outlineLevel="0" collapsed="false">
      <c r="A43" s="18" t="s">
        <v>105</v>
      </c>
      <c r="B43" s="19"/>
      <c r="C43" s="43" t="s">
        <v>232</v>
      </c>
      <c r="D43" s="43" t="s">
        <v>233</v>
      </c>
      <c r="E43" s="19"/>
      <c r="F43" s="18" t="str">
        <f aca="true">IF(E43="","",TODAY()-E43)</f>
        <v/>
      </c>
      <c r="G43" s="44" t="n">
        <v>30</v>
      </c>
      <c r="H43" s="45" t="str">
        <f aca="false">IF(E43="","",E43+G43)</f>
        <v/>
      </c>
      <c r="I43" s="19"/>
      <c r="J43" s="19"/>
      <c r="K43" s="19"/>
      <c r="L43" s="26" t="s">
        <v>234</v>
      </c>
      <c r="M43" s="46" t="str">
        <f aca="false">IF(E43="","—",IF(F43&gt;=G43,"🔴 VENCIDO",IF(F43&gt;=(G43-2),"🟡 REVISAR","🟢 OK")))</f>
        <v>—</v>
      </c>
      <c r="N43" s="19"/>
    </row>
    <row r="44" customFormat="false" ht="19.5" hidden="false" customHeight="true" outlineLevel="0" collapsed="false">
      <c r="A44" s="18" t="s">
        <v>105</v>
      </c>
      <c r="B44" s="19"/>
      <c r="C44" s="43" t="s">
        <v>235</v>
      </c>
      <c r="D44" s="43" t="s">
        <v>236</v>
      </c>
      <c r="E44" s="19"/>
      <c r="F44" s="18" t="str">
        <f aca="true">IF(E44="","",TODAY()-E44)</f>
        <v/>
      </c>
      <c r="G44" s="44" t="n">
        <v>30</v>
      </c>
      <c r="H44" s="45" t="str">
        <f aca="false">IF(E44="","",E44+G44)</f>
        <v/>
      </c>
      <c r="I44" s="19"/>
      <c r="J44" s="19"/>
      <c r="K44" s="19"/>
      <c r="L44" s="26" t="s">
        <v>237</v>
      </c>
      <c r="M44" s="46" t="str">
        <f aca="false">IF(E44="","—",IF(F44&gt;=G44,"🔴 VENCIDO",IF(F44&gt;=(G44-2),"🟡 REVISAR","🟢 OK")))</f>
        <v>—</v>
      </c>
      <c r="N44" s="19"/>
    </row>
    <row r="45" customFormat="false" ht="19.5" hidden="false" customHeight="true" outlineLevel="0" collapsed="false">
      <c r="A45" s="18" t="s">
        <v>105</v>
      </c>
      <c r="B45" s="19"/>
      <c r="C45" s="43" t="s">
        <v>238</v>
      </c>
      <c r="D45" s="43" t="s">
        <v>236</v>
      </c>
      <c r="E45" s="19"/>
      <c r="F45" s="18" t="str">
        <f aca="true">IF(E45="","",TODAY()-E45)</f>
        <v/>
      </c>
      <c r="G45" s="44" t="n">
        <v>14</v>
      </c>
      <c r="H45" s="45" t="str">
        <f aca="false">IF(E45="","",E45+G45)</f>
        <v/>
      </c>
      <c r="I45" s="19"/>
      <c r="J45" s="19"/>
      <c r="K45" s="19"/>
      <c r="L45" s="26" t="s">
        <v>239</v>
      </c>
      <c r="M45" s="46" t="str">
        <f aca="false">IF(E45="","—",IF(F45&gt;=G45,"🔴 VENCIDO",IF(F45&gt;=(G45-2),"🟡 REVISAR","🟢 OK")))</f>
        <v>—</v>
      </c>
      <c r="N45" s="19"/>
    </row>
    <row r="46" customFormat="false" ht="19.5" hidden="false" customHeight="true" outlineLevel="0" collapsed="false">
      <c r="A46" s="18" t="s">
        <v>105</v>
      </c>
      <c r="B46" s="19"/>
      <c r="C46" s="43" t="s">
        <v>240</v>
      </c>
      <c r="D46" s="43" t="s">
        <v>241</v>
      </c>
      <c r="E46" s="19"/>
      <c r="F46" s="18" t="str">
        <f aca="true">IF(E46="","",TODAY()-E46)</f>
        <v/>
      </c>
      <c r="G46" s="44" t="n">
        <v>21</v>
      </c>
      <c r="H46" s="45" t="str">
        <f aca="false">IF(E46="","",E46+G46)</f>
        <v/>
      </c>
      <c r="I46" s="19"/>
      <c r="J46" s="19"/>
      <c r="K46" s="19"/>
      <c r="L46" s="26" t="s">
        <v>242</v>
      </c>
      <c r="M46" s="46" t="str">
        <f aca="false">IF(E46="","—",IF(F46&gt;=G46,"🔴 VENCIDO",IF(F46&gt;=(G46-2),"🟡 REVISAR","🟢 OK")))</f>
        <v>—</v>
      </c>
      <c r="N46" s="19"/>
    </row>
    <row r="47" customFormat="false" ht="19.5" hidden="false" customHeight="true" outlineLevel="0" collapsed="false">
      <c r="A47" s="18" t="s">
        <v>105</v>
      </c>
      <c r="B47" s="19"/>
      <c r="C47" s="43" t="s">
        <v>243</v>
      </c>
      <c r="D47" s="43" t="s">
        <v>244</v>
      </c>
      <c r="E47" s="19"/>
      <c r="F47" s="18" t="str">
        <f aca="true">IF(E47="","",TODAY()-E47)</f>
        <v/>
      </c>
      <c r="G47" s="44" t="n">
        <v>30</v>
      </c>
      <c r="H47" s="45" t="str">
        <f aca="false">IF(E47="","",E47+G47)</f>
        <v/>
      </c>
      <c r="I47" s="19"/>
      <c r="J47" s="19"/>
      <c r="K47" s="19"/>
      <c r="L47" s="26" t="s">
        <v>245</v>
      </c>
      <c r="M47" s="46" t="str">
        <f aca="false">IF(E47="","—",IF(F47&gt;=G47,"🔴 VENCIDO",IF(F47&gt;=(G47-2),"🟡 REVISAR","🟢 OK")))</f>
        <v>—</v>
      </c>
      <c r="N47" s="19"/>
    </row>
    <row r="48" customFormat="false" ht="19.5" hidden="false" customHeight="true" outlineLevel="0" collapsed="false">
      <c r="A48" s="18" t="s">
        <v>105</v>
      </c>
      <c r="B48" s="19"/>
      <c r="C48" s="43" t="s">
        <v>246</v>
      </c>
      <c r="D48" s="43" t="s">
        <v>247</v>
      </c>
      <c r="E48" s="19"/>
      <c r="F48" s="18" t="str">
        <f aca="true">IF(E48="","",TODAY()-E48)</f>
        <v/>
      </c>
      <c r="G48" s="44" t="n">
        <v>14</v>
      </c>
      <c r="H48" s="45" t="str">
        <f aca="false">IF(E48="","",E48+G48)</f>
        <v/>
      </c>
      <c r="I48" s="19"/>
      <c r="J48" s="19"/>
      <c r="K48" s="19"/>
      <c r="L48" s="26" t="s">
        <v>248</v>
      </c>
      <c r="M48" s="46" t="str">
        <f aca="false">IF(E48="","—",IF(F48&gt;=G48,"🔴 VENCIDO",IF(F48&gt;=(G48-2),"🟡 REVISAR","🟢 OK")))</f>
        <v>—</v>
      </c>
      <c r="N48" s="19"/>
    </row>
    <row r="49" customFormat="false" ht="19.5" hidden="false" customHeight="true" outlineLevel="0" collapsed="false">
      <c r="A49" s="18" t="s">
        <v>105</v>
      </c>
      <c r="B49" s="19"/>
      <c r="C49" s="43" t="s">
        <v>249</v>
      </c>
      <c r="D49" s="43" t="s">
        <v>250</v>
      </c>
      <c r="E49" s="19"/>
      <c r="F49" s="18" t="str">
        <f aca="true">IF(E49="","",TODAY()-E49)</f>
        <v/>
      </c>
      <c r="G49" s="44" t="n">
        <v>14</v>
      </c>
      <c r="H49" s="45" t="str">
        <f aca="false">IF(E49="","",E49+G49)</f>
        <v/>
      </c>
      <c r="I49" s="19"/>
      <c r="J49" s="19"/>
      <c r="K49" s="19"/>
      <c r="L49" s="26" t="s">
        <v>251</v>
      </c>
      <c r="M49" s="46" t="str">
        <f aca="false">IF(E49="","—",IF(F49&gt;=G49,"🔴 VENCIDO",IF(F49&gt;=(G49-2),"🟡 REVISAR","🟢 OK")))</f>
        <v>—</v>
      </c>
      <c r="N49" s="19"/>
    </row>
    <row r="50" customFormat="false" ht="19.5" hidden="false" customHeight="true" outlineLevel="0" collapsed="false">
      <c r="A50" s="18" t="s">
        <v>105</v>
      </c>
      <c r="B50" s="19"/>
      <c r="C50" s="43" t="s">
        <v>252</v>
      </c>
      <c r="D50" s="43" t="s">
        <v>253</v>
      </c>
      <c r="E50" s="19"/>
      <c r="F50" s="18" t="str">
        <f aca="true">IF(E50="","",TODAY()-E50)</f>
        <v/>
      </c>
      <c r="G50" s="44" t="n">
        <v>14</v>
      </c>
      <c r="H50" s="45" t="str">
        <f aca="false">IF(E50="","",E50+G50)</f>
        <v/>
      </c>
      <c r="I50" s="19"/>
      <c r="J50" s="19"/>
      <c r="K50" s="19"/>
      <c r="L50" s="26" t="s">
        <v>254</v>
      </c>
      <c r="M50" s="46" t="str">
        <f aca="false">IF(E50="","—",IF(F50&gt;=G50,"🔴 VENCIDO",IF(F50&gt;=(G50-2),"🟡 REVISAR","🟢 OK")))</f>
        <v>—</v>
      </c>
      <c r="N50" s="19"/>
    </row>
    <row r="51" customFormat="false" ht="19.5" hidden="false" customHeight="true" outlineLevel="0" collapsed="false">
      <c r="A51" s="18" t="s">
        <v>105</v>
      </c>
      <c r="B51" s="19"/>
      <c r="C51" s="43" t="s">
        <v>255</v>
      </c>
      <c r="D51" s="43" t="s">
        <v>256</v>
      </c>
      <c r="E51" s="19"/>
      <c r="F51" s="18" t="str">
        <f aca="true">IF(E51="","",TODAY()-E51)</f>
        <v/>
      </c>
      <c r="G51" s="44" t="n">
        <v>90</v>
      </c>
      <c r="H51" s="45" t="str">
        <f aca="false">IF(E51="","",E51+G51)</f>
        <v/>
      </c>
      <c r="I51" s="19"/>
      <c r="J51" s="19"/>
      <c r="K51" s="19"/>
      <c r="L51" s="26" t="s">
        <v>257</v>
      </c>
      <c r="M51" s="46" t="str">
        <f aca="false">IF(E51="","—",IF(F51&gt;=G51,"🔴 VENCIDO",IF(F51&gt;=(G51-2),"🟡 REVISAR","🟢 OK")))</f>
        <v>—</v>
      </c>
      <c r="N51" s="19"/>
    </row>
    <row r="52" customFormat="false" ht="19.5" hidden="false" customHeight="true" outlineLevel="0" collapsed="false">
      <c r="A52" s="18" t="s">
        <v>105</v>
      </c>
      <c r="B52" s="19"/>
      <c r="C52" s="43" t="s">
        <v>258</v>
      </c>
      <c r="D52" s="43" t="s">
        <v>259</v>
      </c>
      <c r="E52" s="19"/>
      <c r="F52" s="18" t="str">
        <f aca="true">IF(E52="","",TODAY()-E52)</f>
        <v/>
      </c>
      <c r="G52" s="44" t="n">
        <v>4</v>
      </c>
      <c r="H52" s="45" t="str">
        <f aca="false">IF(E52="","",E52+G52)</f>
        <v/>
      </c>
      <c r="I52" s="19"/>
      <c r="J52" s="19"/>
      <c r="K52" s="19"/>
      <c r="L52" s="26" t="s">
        <v>260</v>
      </c>
      <c r="M52" s="46" t="str">
        <f aca="false">IF(E52="","—",IF(F52&gt;=G52,"🔴 VENCIDO",IF(F52&gt;=(G52-2),"🟡 REVISAR","🟢 OK")))</f>
        <v>—</v>
      </c>
      <c r="N52" s="19"/>
    </row>
    <row r="53" customFormat="false" ht="19.5" hidden="false" customHeight="true" outlineLevel="0" collapsed="false">
      <c r="A53" s="18" t="s">
        <v>105</v>
      </c>
      <c r="B53" s="19"/>
      <c r="C53" s="43" t="s">
        <v>261</v>
      </c>
      <c r="D53" s="43" t="s">
        <v>262</v>
      </c>
      <c r="E53" s="19"/>
      <c r="F53" s="18" t="str">
        <f aca="true">IF(E53="","",TODAY()-E53)</f>
        <v/>
      </c>
      <c r="G53" s="44" t="n">
        <v>2</v>
      </c>
      <c r="H53" s="45" t="str">
        <f aca="false">IF(E53="","",E53+G53)</f>
        <v/>
      </c>
      <c r="I53" s="19"/>
      <c r="J53" s="19"/>
      <c r="K53" s="19"/>
      <c r="L53" s="26" t="s">
        <v>263</v>
      </c>
      <c r="M53" s="46" t="str">
        <f aca="false">IF(E53="","—",IF(F53&gt;=G53,"🔴 VENCIDO",IF(F53&gt;=(G53-2),"🟡 REVISAR","🟢 OK")))</f>
        <v>—</v>
      </c>
      <c r="N53" s="19"/>
    </row>
    <row r="54" customFormat="false" ht="19.5" hidden="false" customHeight="true" outlineLevel="0" collapsed="false">
      <c r="A54" s="18" t="s">
        <v>105</v>
      </c>
      <c r="B54" s="19"/>
      <c r="C54" s="43" t="s">
        <v>264</v>
      </c>
      <c r="D54" s="43" t="s">
        <v>265</v>
      </c>
      <c r="E54" s="19"/>
      <c r="F54" s="18" t="str">
        <f aca="true">IF(E54="","",TODAY()-E54)</f>
        <v/>
      </c>
      <c r="G54" s="44" t="n">
        <v>7</v>
      </c>
      <c r="H54" s="45" t="str">
        <f aca="false">IF(E54="","",E54+G54)</f>
        <v/>
      </c>
      <c r="I54" s="19"/>
      <c r="J54" s="19"/>
      <c r="K54" s="19"/>
      <c r="L54" s="26" t="s">
        <v>266</v>
      </c>
      <c r="M54" s="46" t="str">
        <f aca="false">IF(E54="","—",IF(F54&gt;=G54,"🔴 VENCIDO",IF(F54&gt;=(G54-2),"🟡 REVISAR","🟢 OK")))</f>
        <v>—</v>
      </c>
      <c r="N54" s="19"/>
    </row>
    <row r="55" customFormat="false" ht="19.5" hidden="false" customHeight="true" outlineLevel="0" collapsed="false">
      <c r="A55" s="18" t="s">
        <v>105</v>
      </c>
      <c r="B55" s="19"/>
      <c r="C55" s="43" t="s">
        <v>267</v>
      </c>
      <c r="D55" s="43" t="s">
        <v>268</v>
      </c>
      <c r="E55" s="19"/>
      <c r="F55" s="18" t="str">
        <f aca="true">IF(E55="","",TODAY()-E55)</f>
        <v/>
      </c>
      <c r="G55" s="44" t="n">
        <v>14</v>
      </c>
      <c r="H55" s="45" t="str">
        <f aca="false">IF(E55="","",E55+G55)</f>
        <v/>
      </c>
      <c r="I55" s="19"/>
      <c r="J55" s="19"/>
      <c r="K55" s="19"/>
      <c r="L55" s="26" t="s">
        <v>269</v>
      </c>
      <c r="M55" s="46" t="str">
        <f aca="false">IF(E55="","—",IF(F55&gt;=G55,"🔴 VENCIDO",IF(F55&gt;=(G55-2),"🟡 REVISAR","🟢 OK")))</f>
        <v>—</v>
      </c>
      <c r="N55" s="19"/>
    </row>
    <row r="56" customFormat="false" ht="19.5" hidden="false" customHeight="true" outlineLevel="0" collapsed="false">
      <c r="A56" s="18" t="s">
        <v>105</v>
      </c>
      <c r="B56" s="19"/>
      <c r="C56" s="43" t="s">
        <v>270</v>
      </c>
      <c r="D56" s="43" t="s">
        <v>271</v>
      </c>
      <c r="E56" s="19"/>
      <c r="F56" s="18" t="str">
        <f aca="true">IF(E56="","",TODAY()-E56)</f>
        <v/>
      </c>
      <c r="G56" s="44" t="n">
        <v>7</v>
      </c>
      <c r="H56" s="45" t="str">
        <f aca="false">IF(E56="","",E56+G56)</f>
        <v/>
      </c>
      <c r="I56" s="19"/>
      <c r="J56" s="19"/>
      <c r="K56" s="19"/>
      <c r="L56" s="26" t="s">
        <v>239</v>
      </c>
      <c r="M56" s="46" t="str">
        <f aca="false">IF(E56="","—",IF(F56&gt;=G56,"🔴 VENCIDO",IF(F56&gt;=(G56-2),"🟡 REVISAR","🟢 OK")))</f>
        <v>—</v>
      </c>
      <c r="N56" s="19"/>
    </row>
    <row r="57" customFormat="false" ht="19.5" hidden="false" customHeight="true" outlineLevel="0" collapsed="false">
      <c r="A57" s="18" t="s">
        <v>105</v>
      </c>
      <c r="B57" s="19"/>
      <c r="C57" s="43" t="s">
        <v>272</v>
      </c>
      <c r="D57" s="43" t="s">
        <v>273</v>
      </c>
      <c r="E57" s="19"/>
      <c r="F57" s="18" t="str">
        <f aca="true">IF(E57="","",TODAY()-E57)</f>
        <v/>
      </c>
      <c r="G57" s="44" t="n">
        <v>90</v>
      </c>
      <c r="H57" s="45" t="str">
        <f aca="false">IF(E57="","",E57+G57)</f>
        <v/>
      </c>
      <c r="I57" s="19"/>
      <c r="J57" s="19"/>
      <c r="K57" s="19"/>
      <c r="L57" s="26" t="s">
        <v>274</v>
      </c>
      <c r="M57" s="46" t="str">
        <f aca="false">IF(E57="","—",IF(F57&gt;=G57,"🔴 VENCIDO",IF(F57&gt;=(G57-2),"🟡 REVISAR","🟢 OK")))</f>
        <v>—</v>
      </c>
      <c r="N57" s="19"/>
    </row>
    <row r="58" customFormat="false" ht="19.5" hidden="false" customHeight="true" outlineLevel="0" collapsed="false">
      <c r="A58" s="18" t="s">
        <v>105</v>
      </c>
      <c r="B58" s="19"/>
      <c r="C58" s="43" t="s">
        <v>275</v>
      </c>
      <c r="D58" s="43" t="s">
        <v>276</v>
      </c>
      <c r="E58" s="19"/>
      <c r="F58" s="18" t="str">
        <f aca="true">IF(E58="","",TODAY()-E58)</f>
        <v/>
      </c>
      <c r="G58" s="44" t="n">
        <v>21</v>
      </c>
      <c r="H58" s="45" t="str">
        <f aca="false">IF(E58="","",E58+G58)</f>
        <v/>
      </c>
      <c r="I58" s="19"/>
      <c r="J58" s="19"/>
      <c r="K58" s="19"/>
      <c r="L58" s="26" t="s">
        <v>277</v>
      </c>
      <c r="M58" s="46" t="str">
        <f aca="false">IF(E58="","—",IF(F58&gt;=G58,"🔴 VENCIDO",IF(F58&gt;=(G58-2),"🟡 REVISAR","🟢 OK")))</f>
        <v>—</v>
      </c>
      <c r="N58" s="19"/>
    </row>
    <row r="59" customFormat="false" ht="6" hidden="false" customHeight="true" outlineLevel="0" collapsed="false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</row>
    <row r="60" customFormat="false" ht="19.5" hidden="false" customHeight="true" outlineLevel="0" collapsed="false">
      <c r="A60" s="18" t="s">
        <v>106</v>
      </c>
      <c r="B60" s="19"/>
      <c r="C60" s="43" t="s">
        <v>226</v>
      </c>
      <c r="D60" s="43" t="s">
        <v>227</v>
      </c>
      <c r="E60" s="19"/>
      <c r="F60" s="18" t="str">
        <f aca="true">IF(E60="","",TODAY()-E60)</f>
        <v/>
      </c>
      <c r="G60" s="44" t="n">
        <v>14</v>
      </c>
      <c r="H60" s="45" t="str">
        <f aca="false">IF(E60="","",E60+G60)</f>
        <v/>
      </c>
      <c r="I60" s="19"/>
      <c r="J60" s="19"/>
      <c r="K60" s="19"/>
      <c r="L60" s="26" t="s">
        <v>228</v>
      </c>
      <c r="M60" s="46" t="str">
        <f aca="false">IF(E60="","—",IF(F60&gt;=G60,"🔴 VENCIDO",IF(F60&gt;=(G60-2),"🟡 REVISAR","🟢 OK")))</f>
        <v>—</v>
      </c>
      <c r="N60" s="19"/>
    </row>
    <row r="61" customFormat="false" ht="19.5" hidden="false" customHeight="true" outlineLevel="0" collapsed="false">
      <c r="A61" s="18" t="s">
        <v>106</v>
      </c>
      <c r="B61" s="19"/>
      <c r="C61" s="43" t="s">
        <v>229</v>
      </c>
      <c r="D61" s="43" t="s">
        <v>230</v>
      </c>
      <c r="E61" s="19"/>
      <c r="F61" s="18" t="str">
        <f aca="true">IF(E61="","",TODAY()-E61)</f>
        <v/>
      </c>
      <c r="G61" s="44" t="n">
        <v>7</v>
      </c>
      <c r="H61" s="45" t="str">
        <f aca="false">IF(E61="","",E61+G61)</f>
        <v/>
      </c>
      <c r="I61" s="19"/>
      <c r="J61" s="19"/>
      <c r="K61" s="19"/>
      <c r="L61" s="26" t="s">
        <v>231</v>
      </c>
      <c r="M61" s="46" t="str">
        <f aca="false">IF(E61="","—",IF(F61&gt;=G61,"🔴 VENCIDO",IF(F61&gt;=(G61-2),"🟡 REVISAR","🟢 OK")))</f>
        <v>—</v>
      </c>
      <c r="N61" s="19"/>
    </row>
    <row r="62" customFormat="false" ht="19.5" hidden="false" customHeight="true" outlineLevel="0" collapsed="false">
      <c r="A62" s="18" t="s">
        <v>106</v>
      </c>
      <c r="B62" s="19"/>
      <c r="C62" s="43" t="s">
        <v>232</v>
      </c>
      <c r="D62" s="43" t="s">
        <v>233</v>
      </c>
      <c r="E62" s="19"/>
      <c r="F62" s="18" t="str">
        <f aca="true">IF(E62="","",TODAY()-E62)</f>
        <v/>
      </c>
      <c r="G62" s="44" t="n">
        <v>30</v>
      </c>
      <c r="H62" s="45" t="str">
        <f aca="false">IF(E62="","",E62+G62)</f>
        <v/>
      </c>
      <c r="I62" s="19"/>
      <c r="J62" s="19"/>
      <c r="K62" s="19"/>
      <c r="L62" s="26" t="s">
        <v>234</v>
      </c>
      <c r="M62" s="46" t="str">
        <f aca="false">IF(E62="","—",IF(F62&gt;=G62,"🔴 VENCIDO",IF(F62&gt;=(G62-2),"🟡 REVISAR","🟢 OK")))</f>
        <v>—</v>
      </c>
      <c r="N62" s="19"/>
    </row>
    <row r="63" customFormat="false" ht="19.5" hidden="false" customHeight="true" outlineLevel="0" collapsed="false">
      <c r="A63" s="18" t="s">
        <v>106</v>
      </c>
      <c r="B63" s="19"/>
      <c r="C63" s="43" t="s">
        <v>235</v>
      </c>
      <c r="D63" s="43" t="s">
        <v>236</v>
      </c>
      <c r="E63" s="19"/>
      <c r="F63" s="18" t="str">
        <f aca="true">IF(E63="","",TODAY()-E63)</f>
        <v/>
      </c>
      <c r="G63" s="44" t="n">
        <v>30</v>
      </c>
      <c r="H63" s="45" t="str">
        <f aca="false">IF(E63="","",E63+G63)</f>
        <v/>
      </c>
      <c r="I63" s="19"/>
      <c r="J63" s="19"/>
      <c r="K63" s="19"/>
      <c r="L63" s="26" t="s">
        <v>237</v>
      </c>
      <c r="M63" s="46" t="str">
        <f aca="false">IF(E63="","—",IF(F63&gt;=G63,"🔴 VENCIDO",IF(F63&gt;=(G63-2),"🟡 REVISAR","🟢 OK")))</f>
        <v>—</v>
      </c>
      <c r="N63" s="19"/>
    </row>
    <row r="64" customFormat="false" ht="19.5" hidden="false" customHeight="true" outlineLevel="0" collapsed="false">
      <c r="A64" s="18" t="s">
        <v>106</v>
      </c>
      <c r="B64" s="19"/>
      <c r="C64" s="43" t="s">
        <v>238</v>
      </c>
      <c r="D64" s="43" t="s">
        <v>236</v>
      </c>
      <c r="E64" s="19"/>
      <c r="F64" s="18" t="str">
        <f aca="true">IF(E64="","",TODAY()-E64)</f>
        <v/>
      </c>
      <c r="G64" s="44" t="n">
        <v>14</v>
      </c>
      <c r="H64" s="45" t="str">
        <f aca="false">IF(E64="","",E64+G64)</f>
        <v/>
      </c>
      <c r="I64" s="19"/>
      <c r="J64" s="19"/>
      <c r="K64" s="19"/>
      <c r="L64" s="26" t="s">
        <v>239</v>
      </c>
      <c r="M64" s="46" t="str">
        <f aca="false">IF(E64="","—",IF(F64&gt;=G64,"🔴 VENCIDO",IF(F64&gt;=(G64-2),"🟡 REVISAR","🟢 OK")))</f>
        <v>—</v>
      </c>
      <c r="N64" s="19"/>
    </row>
    <row r="65" customFormat="false" ht="19.5" hidden="false" customHeight="true" outlineLevel="0" collapsed="false">
      <c r="A65" s="18" t="s">
        <v>106</v>
      </c>
      <c r="B65" s="19"/>
      <c r="C65" s="43" t="s">
        <v>240</v>
      </c>
      <c r="D65" s="43" t="s">
        <v>241</v>
      </c>
      <c r="E65" s="19"/>
      <c r="F65" s="18" t="str">
        <f aca="true">IF(E65="","",TODAY()-E65)</f>
        <v/>
      </c>
      <c r="G65" s="44" t="n">
        <v>21</v>
      </c>
      <c r="H65" s="45" t="str">
        <f aca="false">IF(E65="","",E65+G65)</f>
        <v/>
      </c>
      <c r="I65" s="19"/>
      <c r="J65" s="19"/>
      <c r="K65" s="19"/>
      <c r="L65" s="26" t="s">
        <v>242</v>
      </c>
      <c r="M65" s="46" t="str">
        <f aca="false">IF(E65="","—",IF(F65&gt;=G65,"🔴 VENCIDO",IF(F65&gt;=(G65-2),"🟡 REVISAR","🟢 OK")))</f>
        <v>—</v>
      </c>
      <c r="N65" s="19"/>
    </row>
    <row r="66" customFormat="false" ht="19.5" hidden="false" customHeight="true" outlineLevel="0" collapsed="false">
      <c r="A66" s="18" t="s">
        <v>106</v>
      </c>
      <c r="B66" s="19"/>
      <c r="C66" s="43" t="s">
        <v>243</v>
      </c>
      <c r="D66" s="43" t="s">
        <v>244</v>
      </c>
      <c r="E66" s="19"/>
      <c r="F66" s="18" t="str">
        <f aca="true">IF(E66="","",TODAY()-E66)</f>
        <v/>
      </c>
      <c r="G66" s="44" t="n">
        <v>30</v>
      </c>
      <c r="H66" s="45" t="str">
        <f aca="false">IF(E66="","",E66+G66)</f>
        <v/>
      </c>
      <c r="I66" s="19"/>
      <c r="J66" s="19"/>
      <c r="K66" s="19"/>
      <c r="L66" s="26" t="s">
        <v>245</v>
      </c>
      <c r="M66" s="46" t="str">
        <f aca="false">IF(E66="","—",IF(F66&gt;=G66,"🔴 VENCIDO",IF(F66&gt;=(G66-2),"🟡 REVISAR","🟢 OK")))</f>
        <v>—</v>
      </c>
      <c r="N66" s="19"/>
    </row>
    <row r="67" customFormat="false" ht="19.5" hidden="false" customHeight="true" outlineLevel="0" collapsed="false">
      <c r="A67" s="18" t="s">
        <v>106</v>
      </c>
      <c r="B67" s="19"/>
      <c r="C67" s="43" t="s">
        <v>246</v>
      </c>
      <c r="D67" s="43" t="s">
        <v>247</v>
      </c>
      <c r="E67" s="19"/>
      <c r="F67" s="18" t="str">
        <f aca="true">IF(E67="","",TODAY()-E67)</f>
        <v/>
      </c>
      <c r="G67" s="44" t="n">
        <v>14</v>
      </c>
      <c r="H67" s="45" t="str">
        <f aca="false">IF(E67="","",E67+G67)</f>
        <v/>
      </c>
      <c r="I67" s="19"/>
      <c r="J67" s="19"/>
      <c r="K67" s="19"/>
      <c r="L67" s="26" t="s">
        <v>248</v>
      </c>
      <c r="M67" s="46" t="str">
        <f aca="false">IF(E67="","—",IF(F67&gt;=G67,"🔴 VENCIDO",IF(F67&gt;=(G67-2),"🟡 REVISAR","🟢 OK")))</f>
        <v>—</v>
      </c>
      <c r="N67" s="19"/>
    </row>
    <row r="68" customFormat="false" ht="19.5" hidden="false" customHeight="true" outlineLevel="0" collapsed="false">
      <c r="A68" s="18" t="s">
        <v>106</v>
      </c>
      <c r="B68" s="19"/>
      <c r="C68" s="43" t="s">
        <v>249</v>
      </c>
      <c r="D68" s="43" t="s">
        <v>250</v>
      </c>
      <c r="E68" s="19"/>
      <c r="F68" s="18" t="str">
        <f aca="true">IF(E68="","",TODAY()-E68)</f>
        <v/>
      </c>
      <c r="G68" s="44" t="n">
        <v>14</v>
      </c>
      <c r="H68" s="45" t="str">
        <f aca="false">IF(E68="","",E68+G68)</f>
        <v/>
      </c>
      <c r="I68" s="19"/>
      <c r="J68" s="19"/>
      <c r="K68" s="19"/>
      <c r="L68" s="26" t="s">
        <v>251</v>
      </c>
      <c r="M68" s="46" t="str">
        <f aca="false">IF(E68="","—",IF(F68&gt;=G68,"🔴 VENCIDO",IF(F68&gt;=(G68-2),"🟡 REVISAR","🟢 OK")))</f>
        <v>—</v>
      </c>
      <c r="N68" s="19"/>
    </row>
    <row r="69" customFormat="false" ht="19.5" hidden="false" customHeight="true" outlineLevel="0" collapsed="false">
      <c r="A69" s="18" t="s">
        <v>106</v>
      </c>
      <c r="B69" s="19"/>
      <c r="C69" s="43" t="s">
        <v>252</v>
      </c>
      <c r="D69" s="43" t="s">
        <v>253</v>
      </c>
      <c r="E69" s="19"/>
      <c r="F69" s="18" t="str">
        <f aca="true">IF(E69="","",TODAY()-E69)</f>
        <v/>
      </c>
      <c r="G69" s="44" t="n">
        <v>14</v>
      </c>
      <c r="H69" s="45" t="str">
        <f aca="false">IF(E69="","",E69+G69)</f>
        <v/>
      </c>
      <c r="I69" s="19"/>
      <c r="J69" s="19"/>
      <c r="K69" s="19"/>
      <c r="L69" s="26" t="s">
        <v>254</v>
      </c>
      <c r="M69" s="46" t="str">
        <f aca="false">IF(E69="","—",IF(F69&gt;=G69,"🔴 VENCIDO",IF(F69&gt;=(G69-2),"🟡 REVISAR","🟢 OK")))</f>
        <v>—</v>
      </c>
      <c r="N69" s="19"/>
    </row>
    <row r="70" customFormat="false" ht="19.5" hidden="false" customHeight="true" outlineLevel="0" collapsed="false">
      <c r="A70" s="18" t="s">
        <v>106</v>
      </c>
      <c r="B70" s="19"/>
      <c r="C70" s="43" t="s">
        <v>255</v>
      </c>
      <c r="D70" s="43" t="s">
        <v>256</v>
      </c>
      <c r="E70" s="19"/>
      <c r="F70" s="18" t="str">
        <f aca="true">IF(E70="","",TODAY()-E70)</f>
        <v/>
      </c>
      <c r="G70" s="44" t="n">
        <v>90</v>
      </c>
      <c r="H70" s="45" t="str">
        <f aca="false">IF(E70="","",E70+G70)</f>
        <v/>
      </c>
      <c r="I70" s="19"/>
      <c r="J70" s="19"/>
      <c r="K70" s="19"/>
      <c r="L70" s="26" t="s">
        <v>257</v>
      </c>
      <c r="M70" s="46" t="str">
        <f aca="false">IF(E70="","—",IF(F70&gt;=G70,"🔴 VENCIDO",IF(F70&gt;=(G70-2),"🟡 REVISAR","🟢 OK")))</f>
        <v>—</v>
      </c>
      <c r="N70" s="19"/>
    </row>
    <row r="71" customFormat="false" ht="19.5" hidden="false" customHeight="true" outlineLevel="0" collapsed="false">
      <c r="A71" s="18" t="s">
        <v>106</v>
      </c>
      <c r="B71" s="19"/>
      <c r="C71" s="43" t="s">
        <v>258</v>
      </c>
      <c r="D71" s="43" t="s">
        <v>259</v>
      </c>
      <c r="E71" s="19"/>
      <c r="F71" s="18" t="str">
        <f aca="true">IF(E71="","",TODAY()-E71)</f>
        <v/>
      </c>
      <c r="G71" s="44" t="n">
        <v>4</v>
      </c>
      <c r="H71" s="45" t="str">
        <f aca="false">IF(E71="","",E71+G71)</f>
        <v/>
      </c>
      <c r="I71" s="19"/>
      <c r="J71" s="19"/>
      <c r="K71" s="19"/>
      <c r="L71" s="26" t="s">
        <v>260</v>
      </c>
      <c r="M71" s="46" t="str">
        <f aca="false">IF(E71="","—",IF(F71&gt;=G71,"🔴 VENCIDO",IF(F71&gt;=(G71-2),"🟡 REVISAR","🟢 OK")))</f>
        <v>—</v>
      </c>
      <c r="N71" s="19"/>
    </row>
    <row r="72" customFormat="false" ht="19.5" hidden="false" customHeight="true" outlineLevel="0" collapsed="false">
      <c r="A72" s="18" t="s">
        <v>106</v>
      </c>
      <c r="B72" s="19"/>
      <c r="C72" s="43" t="s">
        <v>261</v>
      </c>
      <c r="D72" s="43" t="s">
        <v>262</v>
      </c>
      <c r="E72" s="19"/>
      <c r="F72" s="18" t="str">
        <f aca="true">IF(E72="","",TODAY()-E72)</f>
        <v/>
      </c>
      <c r="G72" s="44" t="n">
        <v>2</v>
      </c>
      <c r="H72" s="45" t="str">
        <f aca="false">IF(E72="","",E72+G72)</f>
        <v/>
      </c>
      <c r="I72" s="19"/>
      <c r="J72" s="19"/>
      <c r="K72" s="19"/>
      <c r="L72" s="26" t="s">
        <v>263</v>
      </c>
      <c r="M72" s="46" t="str">
        <f aca="false">IF(E72="","—",IF(F72&gt;=G72,"🔴 VENCIDO",IF(F72&gt;=(G72-2),"🟡 REVISAR","🟢 OK")))</f>
        <v>—</v>
      </c>
      <c r="N72" s="19"/>
    </row>
    <row r="73" customFormat="false" ht="19.5" hidden="false" customHeight="true" outlineLevel="0" collapsed="false">
      <c r="A73" s="18" t="s">
        <v>106</v>
      </c>
      <c r="B73" s="19"/>
      <c r="C73" s="43" t="s">
        <v>264</v>
      </c>
      <c r="D73" s="43" t="s">
        <v>265</v>
      </c>
      <c r="E73" s="19"/>
      <c r="F73" s="18" t="str">
        <f aca="true">IF(E73="","",TODAY()-E73)</f>
        <v/>
      </c>
      <c r="G73" s="44" t="n">
        <v>7</v>
      </c>
      <c r="H73" s="45" t="str">
        <f aca="false">IF(E73="","",E73+G73)</f>
        <v/>
      </c>
      <c r="I73" s="19"/>
      <c r="J73" s="19"/>
      <c r="K73" s="19"/>
      <c r="L73" s="26" t="s">
        <v>266</v>
      </c>
      <c r="M73" s="46" t="str">
        <f aca="false">IF(E73="","—",IF(F73&gt;=G73,"🔴 VENCIDO",IF(F73&gt;=(G73-2),"🟡 REVISAR","🟢 OK")))</f>
        <v>—</v>
      </c>
      <c r="N73" s="19"/>
    </row>
    <row r="74" customFormat="false" ht="19.5" hidden="false" customHeight="true" outlineLevel="0" collapsed="false">
      <c r="A74" s="18" t="s">
        <v>106</v>
      </c>
      <c r="B74" s="19"/>
      <c r="C74" s="43" t="s">
        <v>267</v>
      </c>
      <c r="D74" s="43" t="s">
        <v>268</v>
      </c>
      <c r="E74" s="19"/>
      <c r="F74" s="18" t="str">
        <f aca="true">IF(E74="","",TODAY()-E74)</f>
        <v/>
      </c>
      <c r="G74" s="44" t="n">
        <v>14</v>
      </c>
      <c r="H74" s="45" t="str">
        <f aca="false">IF(E74="","",E74+G74)</f>
        <v/>
      </c>
      <c r="I74" s="19"/>
      <c r="J74" s="19"/>
      <c r="K74" s="19"/>
      <c r="L74" s="26" t="s">
        <v>269</v>
      </c>
      <c r="M74" s="46" t="str">
        <f aca="false">IF(E74="","—",IF(F74&gt;=G74,"🔴 VENCIDO",IF(F74&gt;=(G74-2),"🟡 REVISAR","🟢 OK")))</f>
        <v>—</v>
      </c>
      <c r="N74" s="19"/>
    </row>
    <row r="75" customFormat="false" ht="19.5" hidden="false" customHeight="true" outlineLevel="0" collapsed="false">
      <c r="A75" s="18" t="s">
        <v>106</v>
      </c>
      <c r="B75" s="19"/>
      <c r="C75" s="43" t="s">
        <v>270</v>
      </c>
      <c r="D75" s="43" t="s">
        <v>271</v>
      </c>
      <c r="E75" s="19"/>
      <c r="F75" s="18" t="str">
        <f aca="true">IF(E75="","",TODAY()-E75)</f>
        <v/>
      </c>
      <c r="G75" s="44" t="n">
        <v>7</v>
      </c>
      <c r="H75" s="45" t="str">
        <f aca="false">IF(E75="","",E75+G75)</f>
        <v/>
      </c>
      <c r="I75" s="19"/>
      <c r="J75" s="19"/>
      <c r="K75" s="19"/>
      <c r="L75" s="26" t="s">
        <v>239</v>
      </c>
      <c r="M75" s="46" t="str">
        <f aca="false">IF(E75="","—",IF(F75&gt;=G75,"🔴 VENCIDO",IF(F75&gt;=(G75-2),"🟡 REVISAR","🟢 OK")))</f>
        <v>—</v>
      </c>
      <c r="N75" s="19"/>
    </row>
    <row r="76" customFormat="false" ht="19.5" hidden="false" customHeight="true" outlineLevel="0" collapsed="false">
      <c r="A76" s="18" t="s">
        <v>106</v>
      </c>
      <c r="B76" s="19"/>
      <c r="C76" s="43" t="s">
        <v>272</v>
      </c>
      <c r="D76" s="43" t="s">
        <v>273</v>
      </c>
      <c r="E76" s="19"/>
      <c r="F76" s="18" t="str">
        <f aca="true">IF(E76="","",TODAY()-E76)</f>
        <v/>
      </c>
      <c r="G76" s="44" t="n">
        <v>90</v>
      </c>
      <c r="H76" s="45" t="str">
        <f aca="false">IF(E76="","",E76+G76)</f>
        <v/>
      </c>
      <c r="I76" s="19"/>
      <c r="J76" s="19"/>
      <c r="K76" s="19"/>
      <c r="L76" s="26" t="s">
        <v>274</v>
      </c>
      <c r="M76" s="46" t="str">
        <f aca="false">IF(E76="","—",IF(F76&gt;=G76,"🔴 VENCIDO",IF(F76&gt;=(G76-2),"🟡 REVISAR","🟢 OK")))</f>
        <v>—</v>
      </c>
      <c r="N76" s="19"/>
    </row>
    <row r="77" customFormat="false" ht="19.5" hidden="false" customHeight="true" outlineLevel="0" collapsed="false">
      <c r="A77" s="18" t="s">
        <v>106</v>
      </c>
      <c r="B77" s="19"/>
      <c r="C77" s="43" t="s">
        <v>275</v>
      </c>
      <c r="D77" s="43" t="s">
        <v>276</v>
      </c>
      <c r="E77" s="19"/>
      <c r="F77" s="18" t="str">
        <f aca="true">IF(E77="","",TODAY()-E77)</f>
        <v/>
      </c>
      <c r="G77" s="44" t="n">
        <v>21</v>
      </c>
      <c r="H77" s="45" t="str">
        <f aca="false">IF(E77="","",E77+G77)</f>
        <v/>
      </c>
      <c r="I77" s="19"/>
      <c r="J77" s="19"/>
      <c r="K77" s="19"/>
      <c r="L77" s="26" t="s">
        <v>277</v>
      </c>
      <c r="M77" s="46" t="str">
        <f aca="false">IF(E77="","—",IF(F77&gt;=G77,"🔴 VENCIDO",IF(F77&gt;=(G77-2),"🟡 REVISAR","🟢 OK")))</f>
        <v>—</v>
      </c>
      <c r="N77" s="19"/>
    </row>
    <row r="78" customFormat="false" ht="6" hidden="false" customHeight="true" outlineLevel="0" collapsed="false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</row>
    <row r="79" customFormat="false" ht="19.5" hidden="false" customHeight="true" outlineLevel="0" collapsed="false">
      <c r="A79" s="18" t="s">
        <v>107</v>
      </c>
      <c r="B79" s="19"/>
      <c r="C79" s="43" t="s">
        <v>226</v>
      </c>
      <c r="D79" s="43" t="s">
        <v>227</v>
      </c>
      <c r="E79" s="19"/>
      <c r="F79" s="18" t="str">
        <f aca="true">IF(E79="","",TODAY()-E79)</f>
        <v/>
      </c>
      <c r="G79" s="44" t="n">
        <v>14</v>
      </c>
      <c r="H79" s="45" t="str">
        <f aca="false">IF(E79="","",E79+G79)</f>
        <v/>
      </c>
      <c r="I79" s="19"/>
      <c r="J79" s="19"/>
      <c r="K79" s="19"/>
      <c r="L79" s="26" t="s">
        <v>228</v>
      </c>
      <c r="M79" s="46" t="str">
        <f aca="false">IF(E79="","—",IF(F79&gt;=G79,"🔴 VENCIDO",IF(F79&gt;=(G79-2),"🟡 REVISAR","🟢 OK")))</f>
        <v>—</v>
      </c>
      <c r="N79" s="19"/>
    </row>
    <row r="80" customFormat="false" ht="19.5" hidden="false" customHeight="true" outlineLevel="0" collapsed="false">
      <c r="A80" s="18" t="s">
        <v>107</v>
      </c>
      <c r="B80" s="19"/>
      <c r="C80" s="43" t="s">
        <v>229</v>
      </c>
      <c r="D80" s="43" t="s">
        <v>230</v>
      </c>
      <c r="E80" s="19"/>
      <c r="F80" s="18" t="str">
        <f aca="true">IF(E80="","",TODAY()-E80)</f>
        <v/>
      </c>
      <c r="G80" s="44" t="n">
        <v>7</v>
      </c>
      <c r="H80" s="45" t="str">
        <f aca="false">IF(E80="","",E80+G80)</f>
        <v/>
      </c>
      <c r="I80" s="19"/>
      <c r="J80" s="19"/>
      <c r="K80" s="19"/>
      <c r="L80" s="26" t="s">
        <v>231</v>
      </c>
      <c r="M80" s="46" t="str">
        <f aca="false">IF(E80="","—",IF(F80&gt;=G80,"🔴 VENCIDO",IF(F80&gt;=(G80-2),"🟡 REVISAR","🟢 OK")))</f>
        <v>—</v>
      </c>
      <c r="N80" s="19"/>
    </row>
    <row r="81" customFormat="false" ht="19.5" hidden="false" customHeight="true" outlineLevel="0" collapsed="false">
      <c r="A81" s="18" t="s">
        <v>107</v>
      </c>
      <c r="B81" s="19"/>
      <c r="C81" s="43" t="s">
        <v>232</v>
      </c>
      <c r="D81" s="43" t="s">
        <v>233</v>
      </c>
      <c r="E81" s="19"/>
      <c r="F81" s="18" t="str">
        <f aca="true">IF(E81="","",TODAY()-E81)</f>
        <v/>
      </c>
      <c r="G81" s="44" t="n">
        <v>30</v>
      </c>
      <c r="H81" s="45" t="str">
        <f aca="false">IF(E81="","",E81+G81)</f>
        <v/>
      </c>
      <c r="I81" s="19"/>
      <c r="J81" s="19"/>
      <c r="K81" s="19"/>
      <c r="L81" s="26" t="s">
        <v>234</v>
      </c>
      <c r="M81" s="46" t="str">
        <f aca="false">IF(E81="","—",IF(F81&gt;=G81,"🔴 VENCIDO",IF(F81&gt;=(G81-2),"🟡 REVISAR","🟢 OK")))</f>
        <v>—</v>
      </c>
      <c r="N81" s="19"/>
    </row>
    <row r="82" customFormat="false" ht="19.5" hidden="false" customHeight="true" outlineLevel="0" collapsed="false">
      <c r="A82" s="18" t="s">
        <v>107</v>
      </c>
      <c r="B82" s="19"/>
      <c r="C82" s="43" t="s">
        <v>235</v>
      </c>
      <c r="D82" s="43" t="s">
        <v>236</v>
      </c>
      <c r="E82" s="19"/>
      <c r="F82" s="18" t="str">
        <f aca="true">IF(E82="","",TODAY()-E82)</f>
        <v/>
      </c>
      <c r="G82" s="44" t="n">
        <v>30</v>
      </c>
      <c r="H82" s="45" t="str">
        <f aca="false">IF(E82="","",E82+G82)</f>
        <v/>
      </c>
      <c r="I82" s="19"/>
      <c r="J82" s="19"/>
      <c r="K82" s="19"/>
      <c r="L82" s="26" t="s">
        <v>237</v>
      </c>
      <c r="M82" s="46" t="str">
        <f aca="false">IF(E82="","—",IF(F82&gt;=G82,"🔴 VENCIDO",IF(F82&gt;=(G82-2),"🟡 REVISAR","🟢 OK")))</f>
        <v>—</v>
      </c>
      <c r="N82" s="19"/>
    </row>
    <row r="83" customFormat="false" ht="19.5" hidden="false" customHeight="true" outlineLevel="0" collapsed="false">
      <c r="A83" s="18" t="s">
        <v>107</v>
      </c>
      <c r="B83" s="19"/>
      <c r="C83" s="43" t="s">
        <v>238</v>
      </c>
      <c r="D83" s="43" t="s">
        <v>236</v>
      </c>
      <c r="E83" s="19"/>
      <c r="F83" s="18" t="str">
        <f aca="true">IF(E83="","",TODAY()-E83)</f>
        <v/>
      </c>
      <c r="G83" s="44" t="n">
        <v>14</v>
      </c>
      <c r="H83" s="45" t="str">
        <f aca="false">IF(E83="","",E83+G83)</f>
        <v/>
      </c>
      <c r="I83" s="19"/>
      <c r="J83" s="19"/>
      <c r="K83" s="19"/>
      <c r="L83" s="26" t="s">
        <v>239</v>
      </c>
      <c r="M83" s="46" t="str">
        <f aca="false">IF(E83="","—",IF(F83&gt;=G83,"🔴 VENCIDO",IF(F83&gt;=(G83-2),"🟡 REVISAR","🟢 OK")))</f>
        <v>—</v>
      </c>
      <c r="N83" s="19"/>
    </row>
    <row r="84" customFormat="false" ht="19.5" hidden="false" customHeight="true" outlineLevel="0" collapsed="false">
      <c r="A84" s="18" t="s">
        <v>107</v>
      </c>
      <c r="B84" s="19"/>
      <c r="C84" s="43" t="s">
        <v>240</v>
      </c>
      <c r="D84" s="43" t="s">
        <v>241</v>
      </c>
      <c r="E84" s="19"/>
      <c r="F84" s="18" t="str">
        <f aca="true">IF(E84="","",TODAY()-E84)</f>
        <v/>
      </c>
      <c r="G84" s="44" t="n">
        <v>21</v>
      </c>
      <c r="H84" s="45" t="str">
        <f aca="false">IF(E84="","",E84+G84)</f>
        <v/>
      </c>
      <c r="I84" s="19"/>
      <c r="J84" s="19"/>
      <c r="K84" s="19"/>
      <c r="L84" s="26" t="s">
        <v>242</v>
      </c>
      <c r="M84" s="46" t="str">
        <f aca="false">IF(E84="","—",IF(F84&gt;=G84,"🔴 VENCIDO",IF(F84&gt;=(G84-2),"🟡 REVISAR","🟢 OK")))</f>
        <v>—</v>
      </c>
      <c r="N84" s="19"/>
    </row>
    <row r="85" customFormat="false" ht="19.5" hidden="false" customHeight="true" outlineLevel="0" collapsed="false">
      <c r="A85" s="18" t="s">
        <v>107</v>
      </c>
      <c r="B85" s="19"/>
      <c r="C85" s="43" t="s">
        <v>243</v>
      </c>
      <c r="D85" s="43" t="s">
        <v>244</v>
      </c>
      <c r="E85" s="19"/>
      <c r="F85" s="18" t="str">
        <f aca="true">IF(E85="","",TODAY()-E85)</f>
        <v/>
      </c>
      <c r="G85" s="44" t="n">
        <v>30</v>
      </c>
      <c r="H85" s="45" t="str">
        <f aca="false">IF(E85="","",E85+G85)</f>
        <v/>
      </c>
      <c r="I85" s="19"/>
      <c r="J85" s="19"/>
      <c r="K85" s="19"/>
      <c r="L85" s="26" t="s">
        <v>245</v>
      </c>
      <c r="M85" s="46" t="str">
        <f aca="false">IF(E85="","—",IF(F85&gt;=G85,"🔴 VENCIDO",IF(F85&gt;=(G85-2),"🟡 REVISAR","🟢 OK")))</f>
        <v>—</v>
      </c>
      <c r="N85" s="19"/>
    </row>
    <row r="86" customFormat="false" ht="19.5" hidden="false" customHeight="true" outlineLevel="0" collapsed="false">
      <c r="A86" s="18" t="s">
        <v>107</v>
      </c>
      <c r="B86" s="19"/>
      <c r="C86" s="43" t="s">
        <v>246</v>
      </c>
      <c r="D86" s="43" t="s">
        <v>247</v>
      </c>
      <c r="E86" s="19"/>
      <c r="F86" s="18" t="str">
        <f aca="true">IF(E86="","",TODAY()-E86)</f>
        <v/>
      </c>
      <c r="G86" s="44" t="n">
        <v>14</v>
      </c>
      <c r="H86" s="45" t="str">
        <f aca="false">IF(E86="","",E86+G86)</f>
        <v/>
      </c>
      <c r="I86" s="19"/>
      <c r="J86" s="19"/>
      <c r="K86" s="19"/>
      <c r="L86" s="26" t="s">
        <v>248</v>
      </c>
      <c r="M86" s="46" t="str">
        <f aca="false">IF(E86="","—",IF(F86&gt;=G86,"🔴 VENCIDO",IF(F86&gt;=(G86-2),"🟡 REVISAR","🟢 OK")))</f>
        <v>—</v>
      </c>
      <c r="N86" s="19"/>
    </row>
    <row r="87" customFormat="false" ht="19.5" hidden="false" customHeight="true" outlineLevel="0" collapsed="false">
      <c r="A87" s="18" t="s">
        <v>107</v>
      </c>
      <c r="B87" s="19"/>
      <c r="C87" s="43" t="s">
        <v>249</v>
      </c>
      <c r="D87" s="43" t="s">
        <v>250</v>
      </c>
      <c r="E87" s="19"/>
      <c r="F87" s="18" t="str">
        <f aca="true">IF(E87="","",TODAY()-E87)</f>
        <v/>
      </c>
      <c r="G87" s="44" t="n">
        <v>14</v>
      </c>
      <c r="H87" s="45" t="str">
        <f aca="false">IF(E87="","",E87+G87)</f>
        <v/>
      </c>
      <c r="I87" s="19"/>
      <c r="J87" s="19"/>
      <c r="K87" s="19"/>
      <c r="L87" s="26" t="s">
        <v>251</v>
      </c>
      <c r="M87" s="46" t="str">
        <f aca="false">IF(E87="","—",IF(F87&gt;=G87,"🔴 VENCIDO",IF(F87&gt;=(G87-2),"🟡 REVISAR","🟢 OK")))</f>
        <v>—</v>
      </c>
      <c r="N87" s="19"/>
    </row>
    <row r="88" customFormat="false" ht="19.5" hidden="false" customHeight="true" outlineLevel="0" collapsed="false">
      <c r="A88" s="18" t="s">
        <v>107</v>
      </c>
      <c r="B88" s="19"/>
      <c r="C88" s="43" t="s">
        <v>252</v>
      </c>
      <c r="D88" s="43" t="s">
        <v>253</v>
      </c>
      <c r="E88" s="19"/>
      <c r="F88" s="18" t="str">
        <f aca="true">IF(E88="","",TODAY()-E88)</f>
        <v/>
      </c>
      <c r="G88" s="44" t="n">
        <v>14</v>
      </c>
      <c r="H88" s="45" t="str">
        <f aca="false">IF(E88="","",E88+G88)</f>
        <v/>
      </c>
      <c r="I88" s="19"/>
      <c r="J88" s="19"/>
      <c r="K88" s="19"/>
      <c r="L88" s="26" t="s">
        <v>254</v>
      </c>
      <c r="M88" s="46" t="str">
        <f aca="false">IF(E88="","—",IF(F88&gt;=G88,"🔴 VENCIDO",IF(F88&gt;=(G88-2),"🟡 REVISAR","🟢 OK")))</f>
        <v>—</v>
      </c>
      <c r="N88" s="19"/>
    </row>
    <row r="89" customFormat="false" ht="19.5" hidden="false" customHeight="true" outlineLevel="0" collapsed="false">
      <c r="A89" s="18" t="s">
        <v>107</v>
      </c>
      <c r="B89" s="19"/>
      <c r="C89" s="43" t="s">
        <v>255</v>
      </c>
      <c r="D89" s="43" t="s">
        <v>256</v>
      </c>
      <c r="E89" s="19"/>
      <c r="F89" s="18" t="str">
        <f aca="true">IF(E89="","",TODAY()-E89)</f>
        <v/>
      </c>
      <c r="G89" s="44" t="n">
        <v>90</v>
      </c>
      <c r="H89" s="45" t="str">
        <f aca="false">IF(E89="","",E89+G89)</f>
        <v/>
      </c>
      <c r="I89" s="19"/>
      <c r="J89" s="19"/>
      <c r="K89" s="19"/>
      <c r="L89" s="26" t="s">
        <v>257</v>
      </c>
      <c r="M89" s="46" t="str">
        <f aca="false">IF(E89="","—",IF(F89&gt;=G89,"🔴 VENCIDO",IF(F89&gt;=(G89-2),"🟡 REVISAR","🟢 OK")))</f>
        <v>—</v>
      </c>
      <c r="N89" s="19"/>
    </row>
    <row r="90" customFormat="false" ht="19.5" hidden="false" customHeight="true" outlineLevel="0" collapsed="false">
      <c r="A90" s="18" t="s">
        <v>107</v>
      </c>
      <c r="B90" s="19"/>
      <c r="C90" s="43" t="s">
        <v>258</v>
      </c>
      <c r="D90" s="43" t="s">
        <v>259</v>
      </c>
      <c r="E90" s="19"/>
      <c r="F90" s="18" t="str">
        <f aca="true">IF(E90="","",TODAY()-E90)</f>
        <v/>
      </c>
      <c r="G90" s="44" t="n">
        <v>4</v>
      </c>
      <c r="H90" s="45" t="str">
        <f aca="false">IF(E90="","",E90+G90)</f>
        <v/>
      </c>
      <c r="I90" s="19"/>
      <c r="J90" s="19"/>
      <c r="K90" s="19"/>
      <c r="L90" s="26" t="s">
        <v>260</v>
      </c>
      <c r="M90" s="46" t="str">
        <f aca="false">IF(E90="","—",IF(F90&gt;=G90,"🔴 VENCIDO",IF(F90&gt;=(G90-2),"🟡 REVISAR","🟢 OK")))</f>
        <v>—</v>
      </c>
      <c r="N90" s="19"/>
    </row>
    <row r="91" customFormat="false" ht="19.5" hidden="false" customHeight="true" outlineLevel="0" collapsed="false">
      <c r="A91" s="18" t="s">
        <v>107</v>
      </c>
      <c r="B91" s="19"/>
      <c r="C91" s="43" t="s">
        <v>261</v>
      </c>
      <c r="D91" s="43" t="s">
        <v>262</v>
      </c>
      <c r="E91" s="19"/>
      <c r="F91" s="18" t="str">
        <f aca="true">IF(E91="","",TODAY()-E91)</f>
        <v/>
      </c>
      <c r="G91" s="44" t="n">
        <v>2</v>
      </c>
      <c r="H91" s="45" t="str">
        <f aca="false">IF(E91="","",E91+G91)</f>
        <v/>
      </c>
      <c r="I91" s="19"/>
      <c r="J91" s="19"/>
      <c r="K91" s="19"/>
      <c r="L91" s="26" t="s">
        <v>263</v>
      </c>
      <c r="M91" s="46" t="str">
        <f aca="false">IF(E91="","—",IF(F91&gt;=G91,"🔴 VENCIDO",IF(F91&gt;=(G91-2),"🟡 REVISAR","🟢 OK")))</f>
        <v>—</v>
      </c>
      <c r="N91" s="19"/>
    </row>
    <row r="92" customFormat="false" ht="19.5" hidden="false" customHeight="true" outlineLevel="0" collapsed="false">
      <c r="A92" s="18" t="s">
        <v>107</v>
      </c>
      <c r="B92" s="19"/>
      <c r="C92" s="43" t="s">
        <v>264</v>
      </c>
      <c r="D92" s="43" t="s">
        <v>265</v>
      </c>
      <c r="E92" s="19"/>
      <c r="F92" s="18" t="str">
        <f aca="true">IF(E92="","",TODAY()-E92)</f>
        <v/>
      </c>
      <c r="G92" s="44" t="n">
        <v>7</v>
      </c>
      <c r="H92" s="45" t="str">
        <f aca="false">IF(E92="","",E92+G92)</f>
        <v/>
      </c>
      <c r="I92" s="19"/>
      <c r="J92" s="19"/>
      <c r="K92" s="19"/>
      <c r="L92" s="26" t="s">
        <v>266</v>
      </c>
      <c r="M92" s="46" t="str">
        <f aca="false">IF(E92="","—",IF(F92&gt;=G92,"🔴 VENCIDO",IF(F92&gt;=(G92-2),"🟡 REVISAR","🟢 OK")))</f>
        <v>—</v>
      </c>
      <c r="N92" s="19"/>
    </row>
    <row r="93" customFormat="false" ht="19.5" hidden="false" customHeight="true" outlineLevel="0" collapsed="false">
      <c r="A93" s="18" t="s">
        <v>107</v>
      </c>
      <c r="B93" s="19"/>
      <c r="C93" s="43" t="s">
        <v>267</v>
      </c>
      <c r="D93" s="43" t="s">
        <v>268</v>
      </c>
      <c r="E93" s="19"/>
      <c r="F93" s="18" t="str">
        <f aca="true">IF(E93="","",TODAY()-E93)</f>
        <v/>
      </c>
      <c r="G93" s="44" t="n">
        <v>14</v>
      </c>
      <c r="H93" s="45" t="str">
        <f aca="false">IF(E93="","",E93+G93)</f>
        <v/>
      </c>
      <c r="I93" s="19"/>
      <c r="J93" s="19"/>
      <c r="K93" s="19"/>
      <c r="L93" s="26" t="s">
        <v>269</v>
      </c>
      <c r="M93" s="46" t="str">
        <f aca="false">IF(E93="","—",IF(F93&gt;=G93,"🔴 VENCIDO",IF(F93&gt;=(G93-2),"🟡 REVISAR","🟢 OK")))</f>
        <v>—</v>
      </c>
      <c r="N93" s="19"/>
    </row>
    <row r="94" customFormat="false" ht="19.5" hidden="false" customHeight="true" outlineLevel="0" collapsed="false">
      <c r="A94" s="18" t="s">
        <v>107</v>
      </c>
      <c r="B94" s="19"/>
      <c r="C94" s="43" t="s">
        <v>270</v>
      </c>
      <c r="D94" s="43" t="s">
        <v>271</v>
      </c>
      <c r="E94" s="19"/>
      <c r="F94" s="18" t="str">
        <f aca="true">IF(E94="","",TODAY()-E94)</f>
        <v/>
      </c>
      <c r="G94" s="44" t="n">
        <v>7</v>
      </c>
      <c r="H94" s="45" t="str">
        <f aca="false">IF(E94="","",E94+G94)</f>
        <v/>
      </c>
      <c r="I94" s="19"/>
      <c r="J94" s="19"/>
      <c r="K94" s="19"/>
      <c r="L94" s="26" t="s">
        <v>239</v>
      </c>
      <c r="M94" s="46" t="str">
        <f aca="false">IF(E94="","—",IF(F94&gt;=G94,"🔴 VENCIDO",IF(F94&gt;=(G94-2),"🟡 REVISAR","🟢 OK")))</f>
        <v>—</v>
      </c>
      <c r="N94" s="19"/>
    </row>
    <row r="95" customFormat="false" ht="19.5" hidden="false" customHeight="true" outlineLevel="0" collapsed="false">
      <c r="A95" s="18" t="s">
        <v>107</v>
      </c>
      <c r="B95" s="19"/>
      <c r="C95" s="43" t="s">
        <v>272</v>
      </c>
      <c r="D95" s="43" t="s">
        <v>273</v>
      </c>
      <c r="E95" s="19"/>
      <c r="F95" s="18" t="str">
        <f aca="true">IF(E95="","",TODAY()-E95)</f>
        <v/>
      </c>
      <c r="G95" s="44" t="n">
        <v>90</v>
      </c>
      <c r="H95" s="45" t="str">
        <f aca="false">IF(E95="","",E95+G95)</f>
        <v/>
      </c>
      <c r="I95" s="19"/>
      <c r="J95" s="19"/>
      <c r="K95" s="19"/>
      <c r="L95" s="26" t="s">
        <v>274</v>
      </c>
      <c r="M95" s="46" t="str">
        <f aca="false">IF(E95="","—",IF(F95&gt;=G95,"🔴 VENCIDO",IF(F95&gt;=(G95-2),"🟡 REVISAR","🟢 OK")))</f>
        <v>—</v>
      </c>
      <c r="N95" s="19"/>
    </row>
    <row r="96" customFormat="false" ht="19.5" hidden="false" customHeight="true" outlineLevel="0" collapsed="false">
      <c r="A96" s="18" t="s">
        <v>107</v>
      </c>
      <c r="B96" s="19"/>
      <c r="C96" s="43" t="s">
        <v>275</v>
      </c>
      <c r="D96" s="43" t="s">
        <v>276</v>
      </c>
      <c r="E96" s="19"/>
      <c r="F96" s="18" t="str">
        <f aca="true">IF(E96="","",TODAY()-E96)</f>
        <v/>
      </c>
      <c r="G96" s="44" t="n">
        <v>21</v>
      </c>
      <c r="H96" s="45" t="str">
        <f aca="false">IF(E96="","",E96+G96)</f>
        <v/>
      </c>
      <c r="I96" s="19"/>
      <c r="J96" s="19"/>
      <c r="K96" s="19"/>
      <c r="L96" s="26" t="s">
        <v>277</v>
      </c>
      <c r="M96" s="46" t="str">
        <f aca="false">IF(E96="","—",IF(F96&gt;=G96,"🔴 VENCIDO",IF(F96&gt;=(G96-2),"🟡 REVISAR","🟢 OK")))</f>
        <v>—</v>
      </c>
      <c r="N96" s="19"/>
    </row>
    <row r="97" customFormat="false" ht="6" hidden="false" customHeight="true" outlineLevel="0" collapsed="false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</row>
    <row r="98" customFormat="false" ht="19.5" hidden="false" customHeight="true" outlineLevel="0" collapsed="false">
      <c r="A98" s="18" t="s">
        <v>108</v>
      </c>
      <c r="B98" s="19"/>
      <c r="C98" s="43" t="s">
        <v>226</v>
      </c>
      <c r="D98" s="43" t="s">
        <v>227</v>
      </c>
      <c r="E98" s="19"/>
      <c r="F98" s="18" t="str">
        <f aca="true">IF(E98="","",TODAY()-E98)</f>
        <v/>
      </c>
      <c r="G98" s="44" t="n">
        <v>14</v>
      </c>
      <c r="H98" s="45" t="str">
        <f aca="false">IF(E98="","",E98+G98)</f>
        <v/>
      </c>
      <c r="I98" s="19"/>
      <c r="J98" s="19"/>
      <c r="K98" s="19"/>
      <c r="L98" s="26" t="s">
        <v>228</v>
      </c>
      <c r="M98" s="46" t="str">
        <f aca="false">IF(E98="","—",IF(F98&gt;=G98,"🔴 VENCIDO",IF(F98&gt;=(G98-2),"🟡 REVISAR","🟢 OK")))</f>
        <v>—</v>
      </c>
      <c r="N98" s="19"/>
    </row>
    <row r="99" customFormat="false" ht="19.5" hidden="false" customHeight="true" outlineLevel="0" collapsed="false">
      <c r="A99" s="18" t="s">
        <v>108</v>
      </c>
      <c r="B99" s="19"/>
      <c r="C99" s="43" t="s">
        <v>229</v>
      </c>
      <c r="D99" s="43" t="s">
        <v>230</v>
      </c>
      <c r="E99" s="19"/>
      <c r="F99" s="18" t="str">
        <f aca="true">IF(E99="","",TODAY()-E99)</f>
        <v/>
      </c>
      <c r="G99" s="44" t="n">
        <v>7</v>
      </c>
      <c r="H99" s="45" t="str">
        <f aca="false">IF(E99="","",E99+G99)</f>
        <v/>
      </c>
      <c r="I99" s="19"/>
      <c r="J99" s="19"/>
      <c r="K99" s="19"/>
      <c r="L99" s="26" t="s">
        <v>231</v>
      </c>
      <c r="M99" s="46" t="str">
        <f aca="false">IF(E99="","—",IF(F99&gt;=G99,"🔴 VENCIDO",IF(F99&gt;=(G99-2),"🟡 REVISAR","🟢 OK")))</f>
        <v>—</v>
      </c>
      <c r="N99" s="19"/>
    </row>
    <row r="100" customFormat="false" ht="19.5" hidden="false" customHeight="true" outlineLevel="0" collapsed="false">
      <c r="A100" s="18" t="s">
        <v>108</v>
      </c>
      <c r="B100" s="19"/>
      <c r="C100" s="43" t="s">
        <v>232</v>
      </c>
      <c r="D100" s="43" t="s">
        <v>233</v>
      </c>
      <c r="E100" s="19"/>
      <c r="F100" s="18" t="str">
        <f aca="true">IF(E100="","",TODAY()-E100)</f>
        <v/>
      </c>
      <c r="G100" s="44" t="n">
        <v>30</v>
      </c>
      <c r="H100" s="45" t="str">
        <f aca="false">IF(E100="","",E100+G100)</f>
        <v/>
      </c>
      <c r="I100" s="19"/>
      <c r="J100" s="19"/>
      <c r="K100" s="19"/>
      <c r="L100" s="26" t="s">
        <v>234</v>
      </c>
      <c r="M100" s="46" t="str">
        <f aca="false">IF(E100="","—",IF(F100&gt;=G100,"🔴 VENCIDO",IF(F100&gt;=(G100-2),"🟡 REVISAR","🟢 OK")))</f>
        <v>—</v>
      </c>
      <c r="N100" s="19"/>
    </row>
    <row r="101" customFormat="false" ht="19.5" hidden="false" customHeight="true" outlineLevel="0" collapsed="false">
      <c r="A101" s="18" t="s">
        <v>108</v>
      </c>
      <c r="B101" s="19"/>
      <c r="C101" s="43" t="s">
        <v>235</v>
      </c>
      <c r="D101" s="43" t="s">
        <v>236</v>
      </c>
      <c r="E101" s="19"/>
      <c r="F101" s="18" t="str">
        <f aca="true">IF(E101="","",TODAY()-E101)</f>
        <v/>
      </c>
      <c r="G101" s="44" t="n">
        <v>30</v>
      </c>
      <c r="H101" s="45" t="str">
        <f aca="false">IF(E101="","",E101+G101)</f>
        <v/>
      </c>
      <c r="I101" s="19"/>
      <c r="J101" s="19"/>
      <c r="K101" s="19"/>
      <c r="L101" s="26" t="s">
        <v>237</v>
      </c>
      <c r="M101" s="46" t="str">
        <f aca="false">IF(E101="","—",IF(F101&gt;=G101,"🔴 VENCIDO",IF(F101&gt;=(G101-2),"🟡 REVISAR","🟢 OK")))</f>
        <v>—</v>
      </c>
      <c r="N101" s="19"/>
    </row>
    <row r="102" customFormat="false" ht="19.5" hidden="false" customHeight="true" outlineLevel="0" collapsed="false">
      <c r="A102" s="18" t="s">
        <v>108</v>
      </c>
      <c r="B102" s="19"/>
      <c r="C102" s="43" t="s">
        <v>238</v>
      </c>
      <c r="D102" s="43" t="s">
        <v>236</v>
      </c>
      <c r="E102" s="19"/>
      <c r="F102" s="18" t="str">
        <f aca="true">IF(E102="","",TODAY()-E102)</f>
        <v/>
      </c>
      <c r="G102" s="44" t="n">
        <v>14</v>
      </c>
      <c r="H102" s="45" t="str">
        <f aca="false">IF(E102="","",E102+G102)</f>
        <v/>
      </c>
      <c r="I102" s="19"/>
      <c r="J102" s="19"/>
      <c r="K102" s="19"/>
      <c r="L102" s="26" t="s">
        <v>239</v>
      </c>
      <c r="M102" s="46" t="str">
        <f aca="false">IF(E102="","—",IF(F102&gt;=G102,"🔴 VENCIDO",IF(F102&gt;=(G102-2),"🟡 REVISAR","🟢 OK")))</f>
        <v>—</v>
      </c>
      <c r="N102" s="19"/>
    </row>
    <row r="103" customFormat="false" ht="19.5" hidden="false" customHeight="true" outlineLevel="0" collapsed="false">
      <c r="A103" s="18" t="s">
        <v>108</v>
      </c>
      <c r="B103" s="19"/>
      <c r="C103" s="43" t="s">
        <v>240</v>
      </c>
      <c r="D103" s="43" t="s">
        <v>241</v>
      </c>
      <c r="E103" s="19"/>
      <c r="F103" s="18" t="str">
        <f aca="true">IF(E103="","",TODAY()-E103)</f>
        <v/>
      </c>
      <c r="G103" s="44" t="n">
        <v>21</v>
      </c>
      <c r="H103" s="45" t="str">
        <f aca="false">IF(E103="","",E103+G103)</f>
        <v/>
      </c>
      <c r="I103" s="19"/>
      <c r="J103" s="19"/>
      <c r="K103" s="19"/>
      <c r="L103" s="26" t="s">
        <v>242</v>
      </c>
      <c r="M103" s="46" t="str">
        <f aca="false">IF(E103="","—",IF(F103&gt;=G103,"🔴 VENCIDO",IF(F103&gt;=(G103-2),"🟡 REVISAR","🟢 OK")))</f>
        <v>—</v>
      </c>
      <c r="N103" s="19"/>
    </row>
    <row r="104" customFormat="false" ht="19.5" hidden="false" customHeight="true" outlineLevel="0" collapsed="false">
      <c r="A104" s="18" t="s">
        <v>108</v>
      </c>
      <c r="B104" s="19"/>
      <c r="C104" s="43" t="s">
        <v>243</v>
      </c>
      <c r="D104" s="43" t="s">
        <v>244</v>
      </c>
      <c r="E104" s="19"/>
      <c r="F104" s="18" t="str">
        <f aca="true">IF(E104="","",TODAY()-E104)</f>
        <v/>
      </c>
      <c r="G104" s="44" t="n">
        <v>30</v>
      </c>
      <c r="H104" s="45" t="str">
        <f aca="false">IF(E104="","",E104+G104)</f>
        <v/>
      </c>
      <c r="I104" s="19"/>
      <c r="J104" s="19"/>
      <c r="K104" s="19"/>
      <c r="L104" s="26" t="s">
        <v>245</v>
      </c>
      <c r="M104" s="46" t="str">
        <f aca="false">IF(E104="","—",IF(F104&gt;=G104,"🔴 VENCIDO",IF(F104&gt;=(G104-2),"🟡 REVISAR","🟢 OK")))</f>
        <v>—</v>
      </c>
      <c r="N104" s="19"/>
    </row>
    <row r="105" customFormat="false" ht="19.5" hidden="false" customHeight="true" outlineLevel="0" collapsed="false">
      <c r="A105" s="18" t="s">
        <v>108</v>
      </c>
      <c r="B105" s="19"/>
      <c r="C105" s="43" t="s">
        <v>246</v>
      </c>
      <c r="D105" s="43" t="s">
        <v>247</v>
      </c>
      <c r="E105" s="19"/>
      <c r="F105" s="18" t="str">
        <f aca="true">IF(E105="","",TODAY()-E105)</f>
        <v/>
      </c>
      <c r="G105" s="44" t="n">
        <v>14</v>
      </c>
      <c r="H105" s="45" t="str">
        <f aca="false">IF(E105="","",E105+G105)</f>
        <v/>
      </c>
      <c r="I105" s="19"/>
      <c r="J105" s="19"/>
      <c r="K105" s="19"/>
      <c r="L105" s="26" t="s">
        <v>248</v>
      </c>
      <c r="M105" s="46" t="str">
        <f aca="false">IF(E105="","—",IF(F105&gt;=G105,"🔴 VENCIDO",IF(F105&gt;=(G105-2),"🟡 REVISAR","🟢 OK")))</f>
        <v>—</v>
      </c>
      <c r="N105" s="19"/>
    </row>
    <row r="106" customFormat="false" ht="19.5" hidden="false" customHeight="true" outlineLevel="0" collapsed="false">
      <c r="A106" s="18" t="s">
        <v>108</v>
      </c>
      <c r="B106" s="19"/>
      <c r="C106" s="43" t="s">
        <v>249</v>
      </c>
      <c r="D106" s="43" t="s">
        <v>250</v>
      </c>
      <c r="E106" s="19"/>
      <c r="F106" s="18" t="str">
        <f aca="true">IF(E106="","",TODAY()-E106)</f>
        <v/>
      </c>
      <c r="G106" s="44" t="n">
        <v>14</v>
      </c>
      <c r="H106" s="45" t="str">
        <f aca="false">IF(E106="","",E106+G106)</f>
        <v/>
      </c>
      <c r="I106" s="19"/>
      <c r="J106" s="19"/>
      <c r="K106" s="19"/>
      <c r="L106" s="26" t="s">
        <v>251</v>
      </c>
      <c r="M106" s="46" t="str">
        <f aca="false">IF(E106="","—",IF(F106&gt;=G106,"🔴 VENCIDO",IF(F106&gt;=(G106-2),"🟡 REVISAR","🟢 OK")))</f>
        <v>—</v>
      </c>
      <c r="N106" s="19"/>
    </row>
    <row r="107" customFormat="false" ht="19.5" hidden="false" customHeight="true" outlineLevel="0" collapsed="false">
      <c r="A107" s="18" t="s">
        <v>108</v>
      </c>
      <c r="B107" s="19"/>
      <c r="C107" s="43" t="s">
        <v>252</v>
      </c>
      <c r="D107" s="43" t="s">
        <v>253</v>
      </c>
      <c r="E107" s="19"/>
      <c r="F107" s="18" t="str">
        <f aca="true">IF(E107="","",TODAY()-E107)</f>
        <v/>
      </c>
      <c r="G107" s="44" t="n">
        <v>14</v>
      </c>
      <c r="H107" s="45" t="str">
        <f aca="false">IF(E107="","",E107+G107)</f>
        <v/>
      </c>
      <c r="I107" s="19"/>
      <c r="J107" s="19"/>
      <c r="K107" s="19"/>
      <c r="L107" s="26" t="s">
        <v>254</v>
      </c>
      <c r="M107" s="46" t="str">
        <f aca="false">IF(E107="","—",IF(F107&gt;=G107,"🔴 VENCIDO",IF(F107&gt;=(G107-2),"🟡 REVISAR","🟢 OK")))</f>
        <v>—</v>
      </c>
      <c r="N107" s="19"/>
    </row>
    <row r="108" customFormat="false" ht="19.5" hidden="false" customHeight="true" outlineLevel="0" collapsed="false">
      <c r="A108" s="18" t="s">
        <v>108</v>
      </c>
      <c r="B108" s="19"/>
      <c r="C108" s="43" t="s">
        <v>255</v>
      </c>
      <c r="D108" s="43" t="s">
        <v>256</v>
      </c>
      <c r="E108" s="19"/>
      <c r="F108" s="18" t="str">
        <f aca="true">IF(E108="","",TODAY()-E108)</f>
        <v/>
      </c>
      <c r="G108" s="44" t="n">
        <v>90</v>
      </c>
      <c r="H108" s="45" t="str">
        <f aca="false">IF(E108="","",E108+G108)</f>
        <v/>
      </c>
      <c r="I108" s="19"/>
      <c r="J108" s="19"/>
      <c r="K108" s="19"/>
      <c r="L108" s="26" t="s">
        <v>257</v>
      </c>
      <c r="M108" s="46" t="str">
        <f aca="false">IF(E108="","—",IF(F108&gt;=G108,"🔴 VENCIDO",IF(F108&gt;=(G108-2),"🟡 REVISAR","🟢 OK")))</f>
        <v>—</v>
      </c>
      <c r="N108" s="19"/>
    </row>
    <row r="109" customFormat="false" ht="19.5" hidden="false" customHeight="true" outlineLevel="0" collapsed="false">
      <c r="A109" s="18" t="s">
        <v>108</v>
      </c>
      <c r="B109" s="19"/>
      <c r="C109" s="43" t="s">
        <v>258</v>
      </c>
      <c r="D109" s="43" t="s">
        <v>259</v>
      </c>
      <c r="E109" s="19"/>
      <c r="F109" s="18" t="str">
        <f aca="true">IF(E109="","",TODAY()-E109)</f>
        <v/>
      </c>
      <c r="G109" s="44" t="n">
        <v>4</v>
      </c>
      <c r="H109" s="45" t="str">
        <f aca="false">IF(E109="","",E109+G109)</f>
        <v/>
      </c>
      <c r="I109" s="19"/>
      <c r="J109" s="19"/>
      <c r="K109" s="19"/>
      <c r="L109" s="26" t="s">
        <v>260</v>
      </c>
      <c r="M109" s="46" t="str">
        <f aca="false">IF(E109="","—",IF(F109&gt;=G109,"🔴 VENCIDO",IF(F109&gt;=(G109-2),"🟡 REVISAR","🟢 OK")))</f>
        <v>—</v>
      </c>
      <c r="N109" s="19"/>
    </row>
    <row r="110" customFormat="false" ht="19.5" hidden="false" customHeight="true" outlineLevel="0" collapsed="false">
      <c r="A110" s="18" t="s">
        <v>108</v>
      </c>
      <c r="B110" s="19"/>
      <c r="C110" s="43" t="s">
        <v>261</v>
      </c>
      <c r="D110" s="43" t="s">
        <v>262</v>
      </c>
      <c r="E110" s="19"/>
      <c r="F110" s="18" t="str">
        <f aca="true">IF(E110="","",TODAY()-E110)</f>
        <v/>
      </c>
      <c r="G110" s="44" t="n">
        <v>2</v>
      </c>
      <c r="H110" s="45" t="str">
        <f aca="false">IF(E110="","",E110+G110)</f>
        <v/>
      </c>
      <c r="I110" s="19"/>
      <c r="J110" s="19"/>
      <c r="K110" s="19"/>
      <c r="L110" s="26" t="s">
        <v>263</v>
      </c>
      <c r="M110" s="46" t="str">
        <f aca="false">IF(E110="","—",IF(F110&gt;=G110,"🔴 VENCIDO",IF(F110&gt;=(G110-2),"🟡 REVISAR","🟢 OK")))</f>
        <v>—</v>
      </c>
      <c r="N110" s="19"/>
    </row>
    <row r="111" customFormat="false" ht="19.5" hidden="false" customHeight="true" outlineLevel="0" collapsed="false">
      <c r="A111" s="18" t="s">
        <v>108</v>
      </c>
      <c r="B111" s="19"/>
      <c r="C111" s="43" t="s">
        <v>264</v>
      </c>
      <c r="D111" s="43" t="s">
        <v>265</v>
      </c>
      <c r="E111" s="19"/>
      <c r="F111" s="18" t="str">
        <f aca="true">IF(E111="","",TODAY()-E111)</f>
        <v/>
      </c>
      <c r="G111" s="44" t="n">
        <v>7</v>
      </c>
      <c r="H111" s="45" t="str">
        <f aca="false">IF(E111="","",E111+G111)</f>
        <v/>
      </c>
      <c r="I111" s="19"/>
      <c r="J111" s="19"/>
      <c r="K111" s="19"/>
      <c r="L111" s="26" t="s">
        <v>266</v>
      </c>
      <c r="M111" s="46" t="str">
        <f aca="false">IF(E111="","—",IF(F111&gt;=G111,"🔴 VENCIDO",IF(F111&gt;=(G111-2),"🟡 REVISAR","🟢 OK")))</f>
        <v>—</v>
      </c>
      <c r="N111" s="19"/>
    </row>
    <row r="112" customFormat="false" ht="19.5" hidden="false" customHeight="true" outlineLevel="0" collapsed="false">
      <c r="A112" s="18" t="s">
        <v>108</v>
      </c>
      <c r="B112" s="19"/>
      <c r="C112" s="43" t="s">
        <v>267</v>
      </c>
      <c r="D112" s="43" t="s">
        <v>268</v>
      </c>
      <c r="E112" s="19"/>
      <c r="F112" s="18" t="str">
        <f aca="true">IF(E112="","",TODAY()-E112)</f>
        <v/>
      </c>
      <c r="G112" s="44" t="n">
        <v>14</v>
      </c>
      <c r="H112" s="45" t="str">
        <f aca="false">IF(E112="","",E112+G112)</f>
        <v/>
      </c>
      <c r="I112" s="19"/>
      <c r="J112" s="19"/>
      <c r="K112" s="19"/>
      <c r="L112" s="26" t="s">
        <v>269</v>
      </c>
      <c r="M112" s="46" t="str">
        <f aca="false">IF(E112="","—",IF(F112&gt;=G112,"🔴 VENCIDO",IF(F112&gt;=(G112-2),"🟡 REVISAR","🟢 OK")))</f>
        <v>—</v>
      </c>
      <c r="N112" s="19"/>
    </row>
    <row r="113" customFormat="false" ht="19.5" hidden="false" customHeight="true" outlineLevel="0" collapsed="false">
      <c r="A113" s="18" t="s">
        <v>108</v>
      </c>
      <c r="B113" s="19"/>
      <c r="C113" s="43" t="s">
        <v>270</v>
      </c>
      <c r="D113" s="43" t="s">
        <v>271</v>
      </c>
      <c r="E113" s="19"/>
      <c r="F113" s="18" t="str">
        <f aca="true">IF(E113="","",TODAY()-E113)</f>
        <v/>
      </c>
      <c r="G113" s="44" t="n">
        <v>7</v>
      </c>
      <c r="H113" s="45" t="str">
        <f aca="false">IF(E113="","",E113+G113)</f>
        <v/>
      </c>
      <c r="I113" s="19"/>
      <c r="J113" s="19"/>
      <c r="K113" s="19"/>
      <c r="L113" s="26" t="s">
        <v>239</v>
      </c>
      <c r="M113" s="46" t="str">
        <f aca="false">IF(E113="","—",IF(F113&gt;=G113,"🔴 VENCIDO",IF(F113&gt;=(G113-2),"🟡 REVISAR","🟢 OK")))</f>
        <v>—</v>
      </c>
      <c r="N113" s="19"/>
    </row>
    <row r="114" customFormat="false" ht="19.5" hidden="false" customHeight="true" outlineLevel="0" collapsed="false">
      <c r="A114" s="18" t="s">
        <v>108</v>
      </c>
      <c r="B114" s="19"/>
      <c r="C114" s="43" t="s">
        <v>272</v>
      </c>
      <c r="D114" s="43" t="s">
        <v>273</v>
      </c>
      <c r="E114" s="19"/>
      <c r="F114" s="18" t="str">
        <f aca="true">IF(E114="","",TODAY()-E114)</f>
        <v/>
      </c>
      <c r="G114" s="44" t="n">
        <v>90</v>
      </c>
      <c r="H114" s="45" t="str">
        <f aca="false">IF(E114="","",E114+G114)</f>
        <v/>
      </c>
      <c r="I114" s="19"/>
      <c r="J114" s="19"/>
      <c r="K114" s="19"/>
      <c r="L114" s="26" t="s">
        <v>274</v>
      </c>
      <c r="M114" s="46" t="str">
        <f aca="false">IF(E114="","—",IF(F114&gt;=G114,"🔴 VENCIDO",IF(F114&gt;=(G114-2),"🟡 REVISAR","🟢 OK")))</f>
        <v>—</v>
      </c>
      <c r="N114" s="19"/>
    </row>
    <row r="115" customFormat="false" ht="19.5" hidden="false" customHeight="true" outlineLevel="0" collapsed="false">
      <c r="A115" s="18" t="s">
        <v>108</v>
      </c>
      <c r="B115" s="19"/>
      <c r="C115" s="43" t="s">
        <v>275</v>
      </c>
      <c r="D115" s="43" t="s">
        <v>276</v>
      </c>
      <c r="E115" s="19"/>
      <c r="F115" s="18" t="str">
        <f aca="true">IF(E115="","",TODAY()-E115)</f>
        <v/>
      </c>
      <c r="G115" s="44" t="n">
        <v>21</v>
      </c>
      <c r="H115" s="45" t="str">
        <f aca="false">IF(E115="","",E115+G115)</f>
        <v/>
      </c>
      <c r="I115" s="19"/>
      <c r="J115" s="19"/>
      <c r="K115" s="19"/>
      <c r="L115" s="26" t="s">
        <v>277</v>
      </c>
      <c r="M115" s="46" t="str">
        <f aca="false">IF(E115="","—",IF(F115&gt;=G115,"🔴 VENCIDO",IF(F115&gt;=(G115-2),"🟡 REVISAR","🟢 OK")))</f>
        <v>—</v>
      </c>
      <c r="N115" s="19"/>
    </row>
    <row r="116" customFormat="false" ht="6" hidden="false" customHeight="true" outlineLevel="0" collapsed="false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</row>
    <row r="117" customFormat="false" ht="19.5" hidden="false" customHeight="true" outlineLevel="0" collapsed="false">
      <c r="A117" s="18" t="s">
        <v>109</v>
      </c>
      <c r="B117" s="19"/>
      <c r="C117" s="43" t="s">
        <v>226</v>
      </c>
      <c r="D117" s="43" t="s">
        <v>227</v>
      </c>
      <c r="E117" s="19"/>
      <c r="F117" s="18" t="str">
        <f aca="true">IF(E117="","",TODAY()-E117)</f>
        <v/>
      </c>
      <c r="G117" s="44" t="n">
        <v>14</v>
      </c>
      <c r="H117" s="45" t="str">
        <f aca="false">IF(E117="","",E117+G117)</f>
        <v/>
      </c>
      <c r="I117" s="19"/>
      <c r="J117" s="19"/>
      <c r="K117" s="19"/>
      <c r="L117" s="26" t="s">
        <v>228</v>
      </c>
      <c r="M117" s="46" t="str">
        <f aca="false">IF(E117="","—",IF(F117&gt;=G117,"🔴 VENCIDO",IF(F117&gt;=(G117-2),"🟡 REVISAR","🟢 OK")))</f>
        <v>—</v>
      </c>
      <c r="N117" s="19"/>
    </row>
    <row r="118" customFormat="false" ht="19.5" hidden="false" customHeight="true" outlineLevel="0" collapsed="false">
      <c r="A118" s="18" t="s">
        <v>109</v>
      </c>
      <c r="B118" s="19"/>
      <c r="C118" s="43" t="s">
        <v>229</v>
      </c>
      <c r="D118" s="43" t="s">
        <v>230</v>
      </c>
      <c r="E118" s="19"/>
      <c r="F118" s="18" t="str">
        <f aca="true">IF(E118="","",TODAY()-E118)</f>
        <v/>
      </c>
      <c r="G118" s="44" t="n">
        <v>7</v>
      </c>
      <c r="H118" s="45" t="str">
        <f aca="false">IF(E118="","",E118+G118)</f>
        <v/>
      </c>
      <c r="I118" s="19"/>
      <c r="J118" s="19"/>
      <c r="K118" s="19"/>
      <c r="L118" s="26" t="s">
        <v>231</v>
      </c>
      <c r="M118" s="46" t="str">
        <f aca="false">IF(E118="","—",IF(F118&gt;=G118,"🔴 VENCIDO",IF(F118&gt;=(G118-2),"🟡 REVISAR","🟢 OK")))</f>
        <v>—</v>
      </c>
      <c r="N118" s="19"/>
    </row>
    <row r="119" customFormat="false" ht="19.5" hidden="false" customHeight="true" outlineLevel="0" collapsed="false">
      <c r="A119" s="18" t="s">
        <v>109</v>
      </c>
      <c r="B119" s="19"/>
      <c r="C119" s="43" t="s">
        <v>232</v>
      </c>
      <c r="D119" s="43" t="s">
        <v>233</v>
      </c>
      <c r="E119" s="19"/>
      <c r="F119" s="18" t="str">
        <f aca="true">IF(E119="","",TODAY()-E119)</f>
        <v/>
      </c>
      <c r="G119" s="44" t="n">
        <v>30</v>
      </c>
      <c r="H119" s="45" t="str">
        <f aca="false">IF(E119="","",E119+G119)</f>
        <v/>
      </c>
      <c r="I119" s="19"/>
      <c r="J119" s="19"/>
      <c r="K119" s="19"/>
      <c r="L119" s="26" t="s">
        <v>234</v>
      </c>
      <c r="M119" s="46" t="str">
        <f aca="false">IF(E119="","—",IF(F119&gt;=G119,"🔴 VENCIDO",IF(F119&gt;=(G119-2),"🟡 REVISAR","🟢 OK")))</f>
        <v>—</v>
      </c>
      <c r="N119" s="19"/>
    </row>
    <row r="120" customFormat="false" ht="19.5" hidden="false" customHeight="true" outlineLevel="0" collapsed="false">
      <c r="A120" s="18" t="s">
        <v>109</v>
      </c>
      <c r="B120" s="19"/>
      <c r="C120" s="43" t="s">
        <v>235</v>
      </c>
      <c r="D120" s="43" t="s">
        <v>236</v>
      </c>
      <c r="E120" s="19"/>
      <c r="F120" s="18" t="str">
        <f aca="true">IF(E120="","",TODAY()-E120)</f>
        <v/>
      </c>
      <c r="G120" s="44" t="n">
        <v>30</v>
      </c>
      <c r="H120" s="45" t="str">
        <f aca="false">IF(E120="","",E120+G120)</f>
        <v/>
      </c>
      <c r="I120" s="19"/>
      <c r="J120" s="19"/>
      <c r="K120" s="19"/>
      <c r="L120" s="26" t="s">
        <v>237</v>
      </c>
      <c r="M120" s="46" t="str">
        <f aca="false">IF(E120="","—",IF(F120&gt;=G120,"🔴 VENCIDO",IF(F120&gt;=(G120-2),"🟡 REVISAR","🟢 OK")))</f>
        <v>—</v>
      </c>
      <c r="N120" s="19"/>
    </row>
    <row r="121" customFormat="false" ht="19.5" hidden="false" customHeight="true" outlineLevel="0" collapsed="false">
      <c r="A121" s="18" t="s">
        <v>109</v>
      </c>
      <c r="B121" s="19"/>
      <c r="C121" s="43" t="s">
        <v>238</v>
      </c>
      <c r="D121" s="43" t="s">
        <v>236</v>
      </c>
      <c r="E121" s="19"/>
      <c r="F121" s="18" t="str">
        <f aca="true">IF(E121="","",TODAY()-E121)</f>
        <v/>
      </c>
      <c r="G121" s="44" t="n">
        <v>14</v>
      </c>
      <c r="H121" s="45" t="str">
        <f aca="false">IF(E121="","",E121+G121)</f>
        <v/>
      </c>
      <c r="I121" s="19"/>
      <c r="J121" s="19"/>
      <c r="K121" s="19"/>
      <c r="L121" s="26" t="s">
        <v>239</v>
      </c>
      <c r="M121" s="46" t="str">
        <f aca="false">IF(E121="","—",IF(F121&gt;=G121,"🔴 VENCIDO",IF(F121&gt;=(G121-2),"🟡 REVISAR","🟢 OK")))</f>
        <v>—</v>
      </c>
      <c r="N121" s="19"/>
    </row>
    <row r="122" customFormat="false" ht="19.5" hidden="false" customHeight="true" outlineLevel="0" collapsed="false">
      <c r="A122" s="18" t="s">
        <v>109</v>
      </c>
      <c r="B122" s="19"/>
      <c r="C122" s="43" t="s">
        <v>240</v>
      </c>
      <c r="D122" s="43" t="s">
        <v>241</v>
      </c>
      <c r="E122" s="19"/>
      <c r="F122" s="18" t="str">
        <f aca="true">IF(E122="","",TODAY()-E122)</f>
        <v/>
      </c>
      <c r="G122" s="44" t="n">
        <v>21</v>
      </c>
      <c r="H122" s="45" t="str">
        <f aca="false">IF(E122="","",E122+G122)</f>
        <v/>
      </c>
      <c r="I122" s="19"/>
      <c r="J122" s="19"/>
      <c r="K122" s="19"/>
      <c r="L122" s="26" t="s">
        <v>242</v>
      </c>
      <c r="M122" s="46" t="str">
        <f aca="false">IF(E122="","—",IF(F122&gt;=G122,"🔴 VENCIDO",IF(F122&gt;=(G122-2),"🟡 REVISAR","🟢 OK")))</f>
        <v>—</v>
      </c>
      <c r="N122" s="19"/>
    </row>
    <row r="123" customFormat="false" ht="19.5" hidden="false" customHeight="true" outlineLevel="0" collapsed="false">
      <c r="A123" s="18" t="s">
        <v>109</v>
      </c>
      <c r="B123" s="19"/>
      <c r="C123" s="43" t="s">
        <v>243</v>
      </c>
      <c r="D123" s="43" t="s">
        <v>244</v>
      </c>
      <c r="E123" s="19"/>
      <c r="F123" s="18" t="str">
        <f aca="true">IF(E123="","",TODAY()-E123)</f>
        <v/>
      </c>
      <c r="G123" s="44" t="n">
        <v>30</v>
      </c>
      <c r="H123" s="45" t="str">
        <f aca="false">IF(E123="","",E123+G123)</f>
        <v/>
      </c>
      <c r="I123" s="19"/>
      <c r="J123" s="19"/>
      <c r="K123" s="19"/>
      <c r="L123" s="26" t="s">
        <v>245</v>
      </c>
      <c r="M123" s="46" t="str">
        <f aca="false">IF(E123="","—",IF(F123&gt;=G123,"🔴 VENCIDO",IF(F123&gt;=(G123-2),"🟡 REVISAR","🟢 OK")))</f>
        <v>—</v>
      </c>
      <c r="N123" s="19"/>
    </row>
    <row r="124" customFormat="false" ht="19.5" hidden="false" customHeight="true" outlineLevel="0" collapsed="false">
      <c r="A124" s="18" t="s">
        <v>109</v>
      </c>
      <c r="B124" s="19"/>
      <c r="C124" s="43" t="s">
        <v>246</v>
      </c>
      <c r="D124" s="43" t="s">
        <v>247</v>
      </c>
      <c r="E124" s="19"/>
      <c r="F124" s="18" t="str">
        <f aca="true">IF(E124="","",TODAY()-E124)</f>
        <v/>
      </c>
      <c r="G124" s="44" t="n">
        <v>14</v>
      </c>
      <c r="H124" s="45" t="str">
        <f aca="false">IF(E124="","",E124+G124)</f>
        <v/>
      </c>
      <c r="I124" s="19"/>
      <c r="J124" s="19"/>
      <c r="K124" s="19"/>
      <c r="L124" s="26" t="s">
        <v>248</v>
      </c>
      <c r="M124" s="46" t="str">
        <f aca="false">IF(E124="","—",IF(F124&gt;=G124,"🔴 VENCIDO",IF(F124&gt;=(G124-2),"🟡 REVISAR","🟢 OK")))</f>
        <v>—</v>
      </c>
      <c r="N124" s="19"/>
    </row>
    <row r="125" customFormat="false" ht="19.5" hidden="false" customHeight="true" outlineLevel="0" collapsed="false">
      <c r="A125" s="18" t="s">
        <v>109</v>
      </c>
      <c r="B125" s="19"/>
      <c r="C125" s="43" t="s">
        <v>249</v>
      </c>
      <c r="D125" s="43" t="s">
        <v>250</v>
      </c>
      <c r="E125" s="19"/>
      <c r="F125" s="18" t="str">
        <f aca="true">IF(E125="","",TODAY()-E125)</f>
        <v/>
      </c>
      <c r="G125" s="44" t="n">
        <v>14</v>
      </c>
      <c r="H125" s="45" t="str">
        <f aca="false">IF(E125="","",E125+G125)</f>
        <v/>
      </c>
      <c r="I125" s="19"/>
      <c r="J125" s="19"/>
      <c r="K125" s="19"/>
      <c r="L125" s="26" t="s">
        <v>251</v>
      </c>
      <c r="M125" s="46" t="str">
        <f aca="false">IF(E125="","—",IF(F125&gt;=G125,"🔴 VENCIDO",IF(F125&gt;=(G125-2),"🟡 REVISAR","🟢 OK")))</f>
        <v>—</v>
      </c>
      <c r="N125" s="19"/>
    </row>
    <row r="126" customFormat="false" ht="19.5" hidden="false" customHeight="true" outlineLevel="0" collapsed="false">
      <c r="A126" s="18" t="s">
        <v>109</v>
      </c>
      <c r="B126" s="19"/>
      <c r="C126" s="43" t="s">
        <v>252</v>
      </c>
      <c r="D126" s="43" t="s">
        <v>253</v>
      </c>
      <c r="E126" s="19"/>
      <c r="F126" s="18" t="str">
        <f aca="true">IF(E126="","",TODAY()-E126)</f>
        <v/>
      </c>
      <c r="G126" s="44" t="n">
        <v>14</v>
      </c>
      <c r="H126" s="45" t="str">
        <f aca="false">IF(E126="","",E126+G126)</f>
        <v/>
      </c>
      <c r="I126" s="19"/>
      <c r="J126" s="19"/>
      <c r="K126" s="19"/>
      <c r="L126" s="26" t="s">
        <v>254</v>
      </c>
      <c r="M126" s="46" t="str">
        <f aca="false">IF(E126="","—",IF(F126&gt;=G126,"🔴 VENCIDO",IF(F126&gt;=(G126-2),"🟡 REVISAR","🟢 OK")))</f>
        <v>—</v>
      </c>
      <c r="N126" s="19"/>
    </row>
    <row r="127" customFormat="false" ht="19.5" hidden="false" customHeight="true" outlineLevel="0" collapsed="false">
      <c r="A127" s="18" t="s">
        <v>109</v>
      </c>
      <c r="B127" s="19"/>
      <c r="C127" s="43" t="s">
        <v>255</v>
      </c>
      <c r="D127" s="43" t="s">
        <v>256</v>
      </c>
      <c r="E127" s="19"/>
      <c r="F127" s="18" t="str">
        <f aca="true">IF(E127="","",TODAY()-E127)</f>
        <v/>
      </c>
      <c r="G127" s="44" t="n">
        <v>90</v>
      </c>
      <c r="H127" s="45" t="str">
        <f aca="false">IF(E127="","",E127+G127)</f>
        <v/>
      </c>
      <c r="I127" s="19"/>
      <c r="J127" s="19"/>
      <c r="K127" s="19"/>
      <c r="L127" s="26" t="s">
        <v>257</v>
      </c>
      <c r="M127" s="46" t="str">
        <f aca="false">IF(E127="","—",IF(F127&gt;=G127,"🔴 VENCIDO",IF(F127&gt;=(G127-2),"🟡 REVISAR","🟢 OK")))</f>
        <v>—</v>
      </c>
      <c r="N127" s="19"/>
    </row>
    <row r="128" customFormat="false" ht="19.5" hidden="false" customHeight="true" outlineLevel="0" collapsed="false">
      <c r="A128" s="18" t="s">
        <v>109</v>
      </c>
      <c r="B128" s="19"/>
      <c r="C128" s="43" t="s">
        <v>258</v>
      </c>
      <c r="D128" s="43" t="s">
        <v>259</v>
      </c>
      <c r="E128" s="19"/>
      <c r="F128" s="18" t="str">
        <f aca="true">IF(E128="","",TODAY()-E128)</f>
        <v/>
      </c>
      <c r="G128" s="44" t="n">
        <v>4</v>
      </c>
      <c r="H128" s="45" t="str">
        <f aca="false">IF(E128="","",E128+G128)</f>
        <v/>
      </c>
      <c r="I128" s="19"/>
      <c r="J128" s="19"/>
      <c r="K128" s="19"/>
      <c r="L128" s="26" t="s">
        <v>260</v>
      </c>
      <c r="M128" s="46" t="str">
        <f aca="false">IF(E128="","—",IF(F128&gt;=G128,"🔴 VENCIDO",IF(F128&gt;=(G128-2),"🟡 REVISAR","🟢 OK")))</f>
        <v>—</v>
      </c>
      <c r="N128" s="19"/>
    </row>
    <row r="129" customFormat="false" ht="19.5" hidden="false" customHeight="true" outlineLevel="0" collapsed="false">
      <c r="A129" s="18" t="s">
        <v>109</v>
      </c>
      <c r="B129" s="19"/>
      <c r="C129" s="43" t="s">
        <v>261</v>
      </c>
      <c r="D129" s="43" t="s">
        <v>262</v>
      </c>
      <c r="E129" s="19"/>
      <c r="F129" s="18" t="str">
        <f aca="true">IF(E129="","",TODAY()-E129)</f>
        <v/>
      </c>
      <c r="G129" s="44" t="n">
        <v>2</v>
      </c>
      <c r="H129" s="45" t="str">
        <f aca="false">IF(E129="","",E129+G129)</f>
        <v/>
      </c>
      <c r="I129" s="19"/>
      <c r="J129" s="19"/>
      <c r="K129" s="19"/>
      <c r="L129" s="26" t="s">
        <v>263</v>
      </c>
      <c r="M129" s="46" t="str">
        <f aca="false">IF(E129="","—",IF(F129&gt;=G129,"🔴 VENCIDO",IF(F129&gt;=(G129-2),"🟡 REVISAR","🟢 OK")))</f>
        <v>—</v>
      </c>
      <c r="N129" s="19"/>
    </row>
    <row r="130" customFormat="false" ht="19.5" hidden="false" customHeight="true" outlineLevel="0" collapsed="false">
      <c r="A130" s="18" t="s">
        <v>109</v>
      </c>
      <c r="B130" s="19"/>
      <c r="C130" s="43" t="s">
        <v>264</v>
      </c>
      <c r="D130" s="43" t="s">
        <v>265</v>
      </c>
      <c r="E130" s="19"/>
      <c r="F130" s="18" t="str">
        <f aca="true">IF(E130="","",TODAY()-E130)</f>
        <v/>
      </c>
      <c r="G130" s="44" t="n">
        <v>7</v>
      </c>
      <c r="H130" s="45" t="str">
        <f aca="false">IF(E130="","",E130+G130)</f>
        <v/>
      </c>
      <c r="I130" s="19"/>
      <c r="J130" s="19"/>
      <c r="K130" s="19"/>
      <c r="L130" s="26" t="s">
        <v>266</v>
      </c>
      <c r="M130" s="46" t="str">
        <f aca="false">IF(E130="","—",IF(F130&gt;=G130,"🔴 VENCIDO",IF(F130&gt;=(G130-2),"🟡 REVISAR","🟢 OK")))</f>
        <v>—</v>
      </c>
      <c r="N130" s="19"/>
    </row>
    <row r="131" customFormat="false" ht="19.5" hidden="false" customHeight="true" outlineLevel="0" collapsed="false">
      <c r="A131" s="18" t="s">
        <v>109</v>
      </c>
      <c r="B131" s="19"/>
      <c r="C131" s="43" t="s">
        <v>267</v>
      </c>
      <c r="D131" s="43" t="s">
        <v>268</v>
      </c>
      <c r="E131" s="19"/>
      <c r="F131" s="18" t="str">
        <f aca="true">IF(E131="","",TODAY()-E131)</f>
        <v/>
      </c>
      <c r="G131" s="44" t="n">
        <v>14</v>
      </c>
      <c r="H131" s="45" t="str">
        <f aca="false">IF(E131="","",E131+G131)</f>
        <v/>
      </c>
      <c r="I131" s="19"/>
      <c r="J131" s="19"/>
      <c r="K131" s="19"/>
      <c r="L131" s="26" t="s">
        <v>269</v>
      </c>
      <c r="M131" s="46" t="str">
        <f aca="false">IF(E131="","—",IF(F131&gt;=G131,"🔴 VENCIDO",IF(F131&gt;=(G131-2),"🟡 REVISAR","🟢 OK")))</f>
        <v>—</v>
      </c>
      <c r="N131" s="19"/>
    </row>
    <row r="132" customFormat="false" ht="19.5" hidden="false" customHeight="true" outlineLevel="0" collapsed="false">
      <c r="A132" s="18" t="s">
        <v>109</v>
      </c>
      <c r="B132" s="19"/>
      <c r="C132" s="43" t="s">
        <v>270</v>
      </c>
      <c r="D132" s="43" t="s">
        <v>271</v>
      </c>
      <c r="E132" s="19"/>
      <c r="F132" s="18" t="str">
        <f aca="true">IF(E132="","",TODAY()-E132)</f>
        <v/>
      </c>
      <c r="G132" s="44" t="n">
        <v>7</v>
      </c>
      <c r="H132" s="45" t="str">
        <f aca="false">IF(E132="","",E132+G132)</f>
        <v/>
      </c>
      <c r="I132" s="19"/>
      <c r="J132" s="19"/>
      <c r="K132" s="19"/>
      <c r="L132" s="26" t="s">
        <v>239</v>
      </c>
      <c r="M132" s="46" t="str">
        <f aca="false">IF(E132="","—",IF(F132&gt;=G132,"🔴 VENCIDO",IF(F132&gt;=(G132-2),"🟡 REVISAR","🟢 OK")))</f>
        <v>—</v>
      </c>
      <c r="N132" s="19"/>
    </row>
    <row r="133" customFormat="false" ht="19.5" hidden="false" customHeight="true" outlineLevel="0" collapsed="false">
      <c r="A133" s="18" t="s">
        <v>109</v>
      </c>
      <c r="B133" s="19"/>
      <c r="C133" s="43" t="s">
        <v>272</v>
      </c>
      <c r="D133" s="43" t="s">
        <v>273</v>
      </c>
      <c r="E133" s="19"/>
      <c r="F133" s="18" t="str">
        <f aca="true">IF(E133="","",TODAY()-E133)</f>
        <v/>
      </c>
      <c r="G133" s="44" t="n">
        <v>90</v>
      </c>
      <c r="H133" s="45" t="str">
        <f aca="false">IF(E133="","",E133+G133)</f>
        <v/>
      </c>
      <c r="I133" s="19"/>
      <c r="J133" s="19"/>
      <c r="K133" s="19"/>
      <c r="L133" s="26" t="s">
        <v>274</v>
      </c>
      <c r="M133" s="46" t="str">
        <f aca="false">IF(E133="","—",IF(F133&gt;=G133,"🔴 VENCIDO",IF(F133&gt;=(G133-2),"🟡 REVISAR","🟢 OK")))</f>
        <v>—</v>
      </c>
      <c r="N133" s="19"/>
    </row>
    <row r="134" customFormat="false" ht="19.5" hidden="false" customHeight="true" outlineLevel="0" collapsed="false">
      <c r="A134" s="18" t="s">
        <v>109</v>
      </c>
      <c r="B134" s="19"/>
      <c r="C134" s="43" t="s">
        <v>275</v>
      </c>
      <c r="D134" s="43" t="s">
        <v>276</v>
      </c>
      <c r="E134" s="19"/>
      <c r="F134" s="18" t="str">
        <f aca="true">IF(E134="","",TODAY()-E134)</f>
        <v/>
      </c>
      <c r="G134" s="44" t="n">
        <v>21</v>
      </c>
      <c r="H134" s="45" t="str">
        <f aca="false">IF(E134="","",E134+G134)</f>
        <v/>
      </c>
      <c r="I134" s="19"/>
      <c r="J134" s="19"/>
      <c r="K134" s="19"/>
      <c r="L134" s="26" t="s">
        <v>277</v>
      </c>
      <c r="M134" s="46" t="str">
        <f aca="false">IF(E134="","—",IF(F134&gt;=G134,"🔴 VENCIDO",IF(F134&gt;=(G134-2),"🟡 REVISAR","🟢 OK")))</f>
        <v>—</v>
      </c>
      <c r="N134" s="19"/>
    </row>
    <row r="135" customFormat="false" ht="6" hidden="false" customHeight="true" outlineLevel="0" collapsed="false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</row>
    <row r="136" customFormat="false" ht="19.5" hidden="false" customHeight="true" outlineLevel="0" collapsed="false">
      <c r="A136" s="18" t="s">
        <v>110</v>
      </c>
      <c r="B136" s="19"/>
      <c r="C136" s="43" t="s">
        <v>226</v>
      </c>
      <c r="D136" s="43" t="s">
        <v>227</v>
      </c>
      <c r="E136" s="19"/>
      <c r="F136" s="18" t="str">
        <f aca="true">IF(E136="","",TODAY()-E136)</f>
        <v/>
      </c>
      <c r="G136" s="44" t="n">
        <v>14</v>
      </c>
      <c r="H136" s="45" t="str">
        <f aca="false">IF(E136="","",E136+G136)</f>
        <v/>
      </c>
      <c r="I136" s="19"/>
      <c r="J136" s="19"/>
      <c r="K136" s="19"/>
      <c r="L136" s="26" t="s">
        <v>228</v>
      </c>
      <c r="M136" s="46" t="str">
        <f aca="false">IF(E136="","—",IF(F136&gt;=G136,"🔴 VENCIDO",IF(F136&gt;=(G136-2),"🟡 REVISAR","🟢 OK")))</f>
        <v>—</v>
      </c>
      <c r="N136" s="19"/>
    </row>
    <row r="137" customFormat="false" ht="19.5" hidden="false" customHeight="true" outlineLevel="0" collapsed="false">
      <c r="A137" s="18" t="s">
        <v>110</v>
      </c>
      <c r="B137" s="19"/>
      <c r="C137" s="43" t="s">
        <v>229</v>
      </c>
      <c r="D137" s="43" t="s">
        <v>230</v>
      </c>
      <c r="E137" s="19"/>
      <c r="F137" s="18" t="str">
        <f aca="true">IF(E137="","",TODAY()-E137)</f>
        <v/>
      </c>
      <c r="G137" s="44" t="n">
        <v>7</v>
      </c>
      <c r="H137" s="45" t="str">
        <f aca="false">IF(E137="","",E137+G137)</f>
        <v/>
      </c>
      <c r="I137" s="19"/>
      <c r="J137" s="19"/>
      <c r="K137" s="19"/>
      <c r="L137" s="26" t="s">
        <v>231</v>
      </c>
      <c r="M137" s="46" t="str">
        <f aca="false">IF(E137="","—",IF(F137&gt;=G137,"🔴 VENCIDO",IF(F137&gt;=(G137-2),"🟡 REVISAR","🟢 OK")))</f>
        <v>—</v>
      </c>
      <c r="N137" s="19"/>
    </row>
    <row r="138" customFormat="false" ht="19.5" hidden="false" customHeight="true" outlineLevel="0" collapsed="false">
      <c r="A138" s="18" t="s">
        <v>110</v>
      </c>
      <c r="B138" s="19"/>
      <c r="C138" s="43" t="s">
        <v>232</v>
      </c>
      <c r="D138" s="43" t="s">
        <v>233</v>
      </c>
      <c r="E138" s="19"/>
      <c r="F138" s="18" t="str">
        <f aca="true">IF(E138="","",TODAY()-E138)</f>
        <v/>
      </c>
      <c r="G138" s="44" t="n">
        <v>30</v>
      </c>
      <c r="H138" s="45" t="str">
        <f aca="false">IF(E138="","",E138+G138)</f>
        <v/>
      </c>
      <c r="I138" s="19"/>
      <c r="J138" s="19"/>
      <c r="K138" s="19"/>
      <c r="L138" s="26" t="s">
        <v>234</v>
      </c>
      <c r="M138" s="46" t="str">
        <f aca="false">IF(E138="","—",IF(F138&gt;=G138,"🔴 VENCIDO",IF(F138&gt;=(G138-2),"🟡 REVISAR","🟢 OK")))</f>
        <v>—</v>
      </c>
      <c r="N138" s="19"/>
    </row>
    <row r="139" customFormat="false" ht="19.5" hidden="false" customHeight="true" outlineLevel="0" collapsed="false">
      <c r="A139" s="18" t="s">
        <v>110</v>
      </c>
      <c r="B139" s="19"/>
      <c r="C139" s="43" t="s">
        <v>235</v>
      </c>
      <c r="D139" s="43" t="s">
        <v>236</v>
      </c>
      <c r="E139" s="19"/>
      <c r="F139" s="18" t="str">
        <f aca="true">IF(E139="","",TODAY()-E139)</f>
        <v/>
      </c>
      <c r="G139" s="44" t="n">
        <v>30</v>
      </c>
      <c r="H139" s="45" t="str">
        <f aca="false">IF(E139="","",E139+G139)</f>
        <v/>
      </c>
      <c r="I139" s="19"/>
      <c r="J139" s="19"/>
      <c r="K139" s="19"/>
      <c r="L139" s="26" t="s">
        <v>237</v>
      </c>
      <c r="M139" s="46" t="str">
        <f aca="false">IF(E139="","—",IF(F139&gt;=G139,"🔴 VENCIDO",IF(F139&gt;=(G139-2),"🟡 REVISAR","🟢 OK")))</f>
        <v>—</v>
      </c>
      <c r="N139" s="19"/>
    </row>
    <row r="140" customFormat="false" ht="19.5" hidden="false" customHeight="true" outlineLevel="0" collapsed="false">
      <c r="A140" s="18" t="s">
        <v>110</v>
      </c>
      <c r="B140" s="19"/>
      <c r="C140" s="43" t="s">
        <v>238</v>
      </c>
      <c r="D140" s="43" t="s">
        <v>236</v>
      </c>
      <c r="E140" s="19"/>
      <c r="F140" s="18" t="str">
        <f aca="true">IF(E140="","",TODAY()-E140)</f>
        <v/>
      </c>
      <c r="G140" s="44" t="n">
        <v>14</v>
      </c>
      <c r="H140" s="45" t="str">
        <f aca="false">IF(E140="","",E140+G140)</f>
        <v/>
      </c>
      <c r="I140" s="19"/>
      <c r="J140" s="19"/>
      <c r="K140" s="19"/>
      <c r="L140" s="26" t="s">
        <v>239</v>
      </c>
      <c r="M140" s="46" t="str">
        <f aca="false">IF(E140="","—",IF(F140&gt;=G140,"🔴 VENCIDO",IF(F140&gt;=(G140-2),"🟡 REVISAR","🟢 OK")))</f>
        <v>—</v>
      </c>
      <c r="N140" s="19"/>
    </row>
    <row r="141" customFormat="false" ht="19.5" hidden="false" customHeight="true" outlineLevel="0" collapsed="false">
      <c r="A141" s="18" t="s">
        <v>110</v>
      </c>
      <c r="B141" s="19"/>
      <c r="C141" s="43" t="s">
        <v>240</v>
      </c>
      <c r="D141" s="43" t="s">
        <v>241</v>
      </c>
      <c r="E141" s="19"/>
      <c r="F141" s="18" t="str">
        <f aca="true">IF(E141="","",TODAY()-E141)</f>
        <v/>
      </c>
      <c r="G141" s="44" t="n">
        <v>21</v>
      </c>
      <c r="H141" s="45" t="str">
        <f aca="false">IF(E141="","",E141+G141)</f>
        <v/>
      </c>
      <c r="I141" s="19"/>
      <c r="J141" s="19"/>
      <c r="K141" s="19"/>
      <c r="L141" s="26" t="s">
        <v>242</v>
      </c>
      <c r="M141" s="46" t="str">
        <f aca="false">IF(E141="","—",IF(F141&gt;=G141,"🔴 VENCIDO",IF(F141&gt;=(G141-2),"🟡 REVISAR","🟢 OK")))</f>
        <v>—</v>
      </c>
      <c r="N141" s="19"/>
    </row>
    <row r="142" customFormat="false" ht="19.5" hidden="false" customHeight="true" outlineLevel="0" collapsed="false">
      <c r="A142" s="18" t="s">
        <v>110</v>
      </c>
      <c r="B142" s="19"/>
      <c r="C142" s="43" t="s">
        <v>243</v>
      </c>
      <c r="D142" s="43" t="s">
        <v>244</v>
      </c>
      <c r="E142" s="19"/>
      <c r="F142" s="18" t="str">
        <f aca="true">IF(E142="","",TODAY()-E142)</f>
        <v/>
      </c>
      <c r="G142" s="44" t="n">
        <v>30</v>
      </c>
      <c r="H142" s="45" t="str">
        <f aca="false">IF(E142="","",E142+G142)</f>
        <v/>
      </c>
      <c r="I142" s="19"/>
      <c r="J142" s="19"/>
      <c r="K142" s="19"/>
      <c r="L142" s="26" t="s">
        <v>245</v>
      </c>
      <c r="M142" s="46" t="str">
        <f aca="false">IF(E142="","—",IF(F142&gt;=G142,"🔴 VENCIDO",IF(F142&gt;=(G142-2),"🟡 REVISAR","🟢 OK")))</f>
        <v>—</v>
      </c>
      <c r="N142" s="19"/>
    </row>
    <row r="143" customFormat="false" ht="19.5" hidden="false" customHeight="true" outlineLevel="0" collapsed="false">
      <c r="A143" s="18" t="s">
        <v>110</v>
      </c>
      <c r="B143" s="19"/>
      <c r="C143" s="43" t="s">
        <v>246</v>
      </c>
      <c r="D143" s="43" t="s">
        <v>247</v>
      </c>
      <c r="E143" s="19"/>
      <c r="F143" s="18" t="str">
        <f aca="true">IF(E143="","",TODAY()-E143)</f>
        <v/>
      </c>
      <c r="G143" s="44" t="n">
        <v>14</v>
      </c>
      <c r="H143" s="45" t="str">
        <f aca="false">IF(E143="","",E143+G143)</f>
        <v/>
      </c>
      <c r="I143" s="19"/>
      <c r="J143" s="19"/>
      <c r="K143" s="19"/>
      <c r="L143" s="26" t="s">
        <v>248</v>
      </c>
      <c r="M143" s="46" t="str">
        <f aca="false">IF(E143="","—",IF(F143&gt;=G143,"🔴 VENCIDO",IF(F143&gt;=(G143-2),"🟡 REVISAR","🟢 OK")))</f>
        <v>—</v>
      </c>
      <c r="N143" s="19"/>
    </row>
    <row r="144" customFormat="false" ht="19.5" hidden="false" customHeight="true" outlineLevel="0" collapsed="false">
      <c r="A144" s="18" t="s">
        <v>110</v>
      </c>
      <c r="B144" s="19"/>
      <c r="C144" s="43" t="s">
        <v>249</v>
      </c>
      <c r="D144" s="43" t="s">
        <v>250</v>
      </c>
      <c r="E144" s="19"/>
      <c r="F144" s="18" t="str">
        <f aca="true">IF(E144="","",TODAY()-E144)</f>
        <v/>
      </c>
      <c r="G144" s="44" t="n">
        <v>14</v>
      </c>
      <c r="H144" s="45" t="str">
        <f aca="false">IF(E144="","",E144+G144)</f>
        <v/>
      </c>
      <c r="I144" s="19"/>
      <c r="J144" s="19"/>
      <c r="K144" s="19"/>
      <c r="L144" s="26" t="s">
        <v>251</v>
      </c>
      <c r="M144" s="46" t="str">
        <f aca="false">IF(E144="","—",IF(F144&gt;=G144,"🔴 VENCIDO",IF(F144&gt;=(G144-2),"🟡 REVISAR","🟢 OK")))</f>
        <v>—</v>
      </c>
      <c r="N144" s="19"/>
    </row>
    <row r="145" customFormat="false" ht="19.5" hidden="false" customHeight="true" outlineLevel="0" collapsed="false">
      <c r="A145" s="18" t="s">
        <v>110</v>
      </c>
      <c r="B145" s="19"/>
      <c r="C145" s="43" t="s">
        <v>252</v>
      </c>
      <c r="D145" s="43" t="s">
        <v>253</v>
      </c>
      <c r="E145" s="19"/>
      <c r="F145" s="18" t="str">
        <f aca="true">IF(E145="","",TODAY()-E145)</f>
        <v/>
      </c>
      <c r="G145" s="44" t="n">
        <v>14</v>
      </c>
      <c r="H145" s="45" t="str">
        <f aca="false">IF(E145="","",E145+G145)</f>
        <v/>
      </c>
      <c r="I145" s="19"/>
      <c r="J145" s="19"/>
      <c r="K145" s="19"/>
      <c r="L145" s="26" t="s">
        <v>254</v>
      </c>
      <c r="M145" s="46" t="str">
        <f aca="false">IF(E145="","—",IF(F145&gt;=G145,"🔴 VENCIDO",IF(F145&gt;=(G145-2),"🟡 REVISAR","🟢 OK")))</f>
        <v>—</v>
      </c>
      <c r="N145" s="19"/>
    </row>
    <row r="146" customFormat="false" ht="19.5" hidden="false" customHeight="true" outlineLevel="0" collapsed="false">
      <c r="A146" s="18" t="s">
        <v>110</v>
      </c>
      <c r="B146" s="19"/>
      <c r="C146" s="43" t="s">
        <v>255</v>
      </c>
      <c r="D146" s="43" t="s">
        <v>256</v>
      </c>
      <c r="E146" s="19"/>
      <c r="F146" s="18" t="str">
        <f aca="true">IF(E146="","",TODAY()-E146)</f>
        <v/>
      </c>
      <c r="G146" s="44" t="n">
        <v>90</v>
      </c>
      <c r="H146" s="45" t="str">
        <f aca="false">IF(E146="","",E146+G146)</f>
        <v/>
      </c>
      <c r="I146" s="19"/>
      <c r="J146" s="19"/>
      <c r="K146" s="19"/>
      <c r="L146" s="26" t="s">
        <v>257</v>
      </c>
      <c r="M146" s="46" t="str">
        <f aca="false">IF(E146="","—",IF(F146&gt;=G146,"🔴 VENCIDO",IF(F146&gt;=(G146-2),"🟡 REVISAR","🟢 OK")))</f>
        <v>—</v>
      </c>
      <c r="N146" s="19"/>
    </row>
    <row r="147" customFormat="false" ht="19.5" hidden="false" customHeight="true" outlineLevel="0" collapsed="false">
      <c r="A147" s="18" t="s">
        <v>110</v>
      </c>
      <c r="B147" s="19"/>
      <c r="C147" s="43" t="s">
        <v>258</v>
      </c>
      <c r="D147" s="43" t="s">
        <v>259</v>
      </c>
      <c r="E147" s="19"/>
      <c r="F147" s="18" t="str">
        <f aca="true">IF(E147="","",TODAY()-E147)</f>
        <v/>
      </c>
      <c r="G147" s="44" t="n">
        <v>4</v>
      </c>
      <c r="H147" s="45" t="str">
        <f aca="false">IF(E147="","",E147+G147)</f>
        <v/>
      </c>
      <c r="I147" s="19"/>
      <c r="J147" s="19"/>
      <c r="K147" s="19"/>
      <c r="L147" s="26" t="s">
        <v>260</v>
      </c>
      <c r="M147" s="46" t="str">
        <f aca="false">IF(E147="","—",IF(F147&gt;=G147,"🔴 VENCIDO",IF(F147&gt;=(G147-2),"🟡 REVISAR","🟢 OK")))</f>
        <v>—</v>
      </c>
      <c r="N147" s="19"/>
    </row>
    <row r="148" customFormat="false" ht="19.5" hidden="false" customHeight="true" outlineLevel="0" collapsed="false">
      <c r="A148" s="18" t="s">
        <v>110</v>
      </c>
      <c r="B148" s="19"/>
      <c r="C148" s="43" t="s">
        <v>261</v>
      </c>
      <c r="D148" s="43" t="s">
        <v>262</v>
      </c>
      <c r="E148" s="19"/>
      <c r="F148" s="18" t="str">
        <f aca="true">IF(E148="","",TODAY()-E148)</f>
        <v/>
      </c>
      <c r="G148" s="44" t="n">
        <v>2</v>
      </c>
      <c r="H148" s="45" t="str">
        <f aca="false">IF(E148="","",E148+G148)</f>
        <v/>
      </c>
      <c r="I148" s="19"/>
      <c r="J148" s="19"/>
      <c r="K148" s="19"/>
      <c r="L148" s="26" t="s">
        <v>263</v>
      </c>
      <c r="M148" s="46" t="str">
        <f aca="false">IF(E148="","—",IF(F148&gt;=G148,"🔴 VENCIDO",IF(F148&gt;=(G148-2),"🟡 REVISAR","🟢 OK")))</f>
        <v>—</v>
      </c>
      <c r="N148" s="19"/>
    </row>
    <row r="149" customFormat="false" ht="19.5" hidden="false" customHeight="true" outlineLevel="0" collapsed="false">
      <c r="A149" s="18" t="s">
        <v>110</v>
      </c>
      <c r="B149" s="19"/>
      <c r="C149" s="43" t="s">
        <v>264</v>
      </c>
      <c r="D149" s="43" t="s">
        <v>265</v>
      </c>
      <c r="E149" s="19"/>
      <c r="F149" s="18" t="str">
        <f aca="true">IF(E149="","",TODAY()-E149)</f>
        <v/>
      </c>
      <c r="G149" s="44" t="n">
        <v>7</v>
      </c>
      <c r="H149" s="45" t="str">
        <f aca="false">IF(E149="","",E149+G149)</f>
        <v/>
      </c>
      <c r="I149" s="19"/>
      <c r="J149" s="19"/>
      <c r="K149" s="19"/>
      <c r="L149" s="26" t="s">
        <v>266</v>
      </c>
      <c r="M149" s="46" t="str">
        <f aca="false">IF(E149="","—",IF(F149&gt;=G149,"🔴 VENCIDO",IF(F149&gt;=(G149-2),"🟡 REVISAR","🟢 OK")))</f>
        <v>—</v>
      </c>
      <c r="N149" s="19"/>
    </row>
    <row r="150" customFormat="false" ht="19.5" hidden="false" customHeight="true" outlineLevel="0" collapsed="false">
      <c r="A150" s="18" t="s">
        <v>110</v>
      </c>
      <c r="B150" s="19"/>
      <c r="C150" s="43" t="s">
        <v>267</v>
      </c>
      <c r="D150" s="43" t="s">
        <v>268</v>
      </c>
      <c r="E150" s="19"/>
      <c r="F150" s="18" t="str">
        <f aca="true">IF(E150="","",TODAY()-E150)</f>
        <v/>
      </c>
      <c r="G150" s="44" t="n">
        <v>14</v>
      </c>
      <c r="H150" s="45" t="str">
        <f aca="false">IF(E150="","",E150+G150)</f>
        <v/>
      </c>
      <c r="I150" s="19"/>
      <c r="J150" s="19"/>
      <c r="K150" s="19"/>
      <c r="L150" s="26" t="s">
        <v>269</v>
      </c>
      <c r="M150" s="46" t="str">
        <f aca="false">IF(E150="","—",IF(F150&gt;=G150,"🔴 VENCIDO",IF(F150&gt;=(G150-2),"🟡 REVISAR","🟢 OK")))</f>
        <v>—</v>
      </c>
      <c r="N150" s="19"/>
    </row>
    <row r="151" customFormat="false" ht="19.5" hidden="false" customHeight="true" outlineLevel="0" collapsed="false">
      <c r="A151" s="18" t="s">
        <v>110</v>
      </c>
      <c r="B151" s="19"/>
      <c r="C151" s="43" t="s">
        <v>270</v>
      </c>
      <c r="D151" s="43" t="s">
        <v>271</v>
      </c>
      <c r="E151" s="19"/>
      <c r="F151" s="18" t="str">
        <f aca="true">IF(E151="","",TODAY()-E151)</f>
        <v/>
      </c>
      <c r="G151" s="44" t="n">
        <v>7</v>
      </c>
      <c r="H151" s="45" t="str">
        <f aca="false">IF(E151="","",E151+G151)</f>
        <v/>
      </c>
      <c r="I151" s="19"/>
      <c r="J151" s="19"/>
      <c r="K151" s="19"/>
      <c r="L151" s="26" t="s">
        <v>239</v>
      </c>
      <c r="M151" s="46" t="str">
        <f aca="false">IF(E151="","—",IF(F151&gt;=G151,"🔴 VENCIDO",IF(F151&gt;=(G151-2),"🟡 REVISAR","🟢 OK")))</f>
        <v>—</v>
      </c>
      <c r="N151" s="19"/>
    </row>
    <row r="152" customFormat="false" ht="19.5" hidden="false" customHeight="true" outlineLevel="0" collapsed="false">
      <c r="A152" s="18" t="s">
        <v>110</v>
      </c>
      <c r="B152" s="19"/>
      <c r="C152" s="43" t="s">
        <v>272</v>
      </c>
      <c r="D152" s="43" t="s">
        <v>273</v>
      </c>
      <c r="E152" s="19"/>
      <c r="F152" s="18" t="str">
        <f aca="true">IF(E152="","",TODAY()-E152)</f>
        <v/>
      </c>
      <c r="G152" s="44" t="n">
        <v>90</v>
      </c>
      <c r="H152" s="45" t="str">
        <f aca="false">IF(E152="","",E152+G152)</f>
        <v/>
      </c>
      <c r="I152" s="19"/>
      <c r="J152" s="19"/>
      <c r="K152" s="19"/>
      <c r="L152" s="26" t="s">
        <v>274</v>
      </c>
      <c r="M152" s="46" t="str">
        <f aca="false">IF(E152="","—",IF(F152&gt;=G152,"🔴 VENCIDO",IF(F152&gt;=(G152-2),"🟡 REVISAR","🟢 OK")))</f>
        <v>—</v>
      </c>
      <c r="N152" s="19"/>
    </row>
    <row r="153" customFormat="false" ht="19.5" hidden="false" customHeight="true" outlineLevel="0" collapsed="false">
      <c r="A153" s="18" t="s">
        <v>110</v>
      </c>
      <c r="B153" s="19"/>
      <c r="C153" s="43" t="s">
        <v>275</v>
      </c>
      <c r="D153" s="43" t="s">
        <v>276</v>
      </c>
      <c r="E153" s="19"/>
      <c r="F153" s="18" t="str">
        <f aca="true">IF(E153="","",TODAY()-E153)</f>
        <v/>
      </c>
      <c r="G153" s="44" t="n">
        <v>21</v>
      </c>
      <c r="H153" s="45" t="str">
        <f aca="false">IF(E153="","",E153+G153)</f>
        <v/>
      </c>
      <c r="I153" s="19"/>
      <c r="J153" s="19"/>
      <c r="K153" s="19"/>
      <c r="L153" s="26" t="s">
        <v>277</v>
      </c>
      <c r="M153" s="46" t="str">
        <f aca="false">IF(E153="","—",IF(F153&gt;=G153,"🔴 VENCIDO",IF(F153&gt;=(G153-2),"🟡 REVISAR","🟢 OK")))</f>
        <v>—</v>
      </c>
      <c r="N153" s="19"/>
    </row>
    <row r="154" customFormat="false" ht="6" hidden="false" customHeight="true" outlineLevel="0" collapsed="false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</row>
    <row r="155" customFormat="false" ht="19.5" hidden="false" customHeight="true" outlineLevel="0" collapsed="false">
      <c r="A155" s="18" t="s">
        <v>111</v>
      </c>
      <c r="B155" s="19"/>
      <c r="C155" s="43" t="s">
        <v>226</v>
      </c>
      <c r="D155" s="43" t="s">
        <v>227</v>
      </c>
      <c r="E155" s="19"/>
      <c r="F155" s="18" t="str">
        <f aca="true">IF(E155="","",TODAY()-E155)</f>
        <v/>
      </c>
      <c r="G155" s="44" t="n">
        <v>14</v>
      </c>
      <c r="H155" s="45" t="str">
        <f aca="false">IF(E155="","",E155+G155)</f>
        <v/>
      </c>
      <c r="I155" s="19"/>
      <c r="J155" s="19"/>
      <c r="K155" s="19"/>
      <c r="L155" s="26" t="s">
        <v>228</v>
      </c>
      <c r="M155" s="46" t="str">
        <f aca="false">IF(E155="","—",IF(F155&gt;=G155,"🔴 VENCIDO",IF(F155&gt;=(G155-2),"🟡 REVISAR","🟢 OK")))</f>
        <v>—</v>
      </c>
      <c r="N155" s="19"/>
    </row>
    <row r="156" customFormat="false" ht="19.5" hidden="false" customHeight="true" outlineLevel="0" collapsed="false">
      <c r="A156" s="18" t="s">
        <v>111</v>
      </c>
      <c r="B156" s="19"/>
      <c r="C156" s="43" t="s">
        <v>229</v>
      </c>
      <c r="D156" s="43" t="s">
        <v>230</v>
      </c>
      <c r="E156" s="19"/>
      <c r="F156" s="18" t="str">
        <f aca="true">IF(E156="","",TODAY()-E156)</f>
        <v/>
      </c>
      <c r="G156" s="44" t="n">
        <v>7</v>
      </c>
      <c r="H156" s="45" t="str">
        <f aca="false">IF(E156="","",E156+G156)</f>
        <v/>
      </c>
      <c r="I156" s="19"/>
      <c r="J156" s="19"/>
      <c r="K156" s="19"/>
      <c r="L156" s="26" t="s">
        <v>231</v>
      </c>
      <c r="M156" s="46" t="str">
        <f aca="false">IF(E156="","—",IF(F156&gt;=G156,"🔴 VENCIDO",IF(F156&gt;=(G156-2),"🟡 REVISAR","🟢 OK")))</f>
        <v>—</v>
      </c>
      <c r="N156" s="19"/>
    </row>
    <row r="157" customFormat="false" ht="19.5" hidden="false" customHeight="true" outlineLevel="0" collapsed="false">
      <c r="A157" s="18" t="s">
        <v>111</v>
      </c>
      <c r="B157" s="19"/>
      <c r="C157" s="43" t="s">
        <v>232</v>
      </c>
      <c r="D157" s="43" t="s">
        <v>233</v>
      </c>
      <c r="E157" s="19"/>
      <c r="F157" s="18" t="str">
        <f aca="true">IF(E157="","",TODAY()-E157)</f>
        <v/>
      </c>
      <c r="G157" s="44" t="n">
        <v>30</v>
      </c>
      <c r="H157" s="45" t="str">
        <f aca="false">IF(E157="","",E157+G157)</f>
        <v/>
      </c>
      <c r="I157" s="19"/>
      <c r="J157" s="19"/>
      <c r="K157" s="19"/>
      <c r="L157" s="26" t="s">
        <v>234</v>
      </c>
      <c r="M157" s="46" t="str">
        <f aca="false">IF(E157="","—",IF(F157&gt;=G157,"🔴 VENCIDO",IF(F157&gt;=(G157-2),"🟡 REVISAR","🟢 OK")))</f>
        <v>—</v>
      </c>
      <c r="N157" s="19"/>
    </row>
    <row r="158" customFormat="false" ht="19.5" hidden="false" customHeight="true" outlineLevel="0" collapsed="false">
      <c r="A158" s="18" t="s">
        <v>111</v>
      </c>
      <c r="B158" s="19"/>
      <c r="C158" s="43" t="s">
        <v>235</v>
      </c>
      <c r="D158" s="43" t="s">
        <v>236</v>
      </c>
      <c r="E158" s="19"/>
      <c r="F158" s="18" t="str">
        <f aca="true">IF(E158="","",TODAY()-E158)</f>
        <v/>
      </c>
      <c r="G158" s="44" t="n">
        <v>30</v>
      </c>
      <c r="H158" s="45" t="str">
        <f aca="false">IF(E158="","",E158+G158)</f>
        <v/>
      </c>
      <c r="I158" s="19"/>
      <c r="J158" s="19"/>
      <c r="K158" s="19"/>
      <c r="L158" s="26" t="s">
        <v>237</v>
      </c>
      <c r="M158" s="46" t="str">
        <f aca="false">IF(E158="","—",IF(F158&gt;=G158,"🔴 VENCIDO",IF(F158&gt;=(G158-2),"🟡 REVISAR","🟢 OK")))</f>
        <v>—</v>
      </c>
      <c r="N158" s="19"/>
    </row>
    <row r="159" customFormat="false" ht="19.5" hidden="false" customHeight="true" outlineLevel="0" collapsed="false">
      <c r="A159" s="18" t="s">
        <v>111</v>
      </c>
      <c r="B159" s="19"/>
      <c r="C159" s="43" t="s">
        <v>238</v>
      </c>
      <c r="D159" s="43" t="s">
        <v>236</v>
      </c>
      <c r="E159" s="19"/>
      <c r="F159" s="18" t="str">
        <f aca="true">IF(E159="","",TODAY()-E159)</f>
        <v/>
      </c>
      <c r="G159" s="44" t="n">
        <v>14</v>
      </c>
      <c r="H159" s="45" t="str">
        <f aca="false">IF(E159="","",E159+G159)</f>
        <v/>
      </c>
      <c r="I159" s="19"/>
      <c r="J159" s="19"/>
      <c r="K159" s="19"/>
      <c r="L159" s="26" t="s">
        <v>239</v>
      </c>
      <c r="M159" s="46" t="str">
        <f aca="false">IF(E159="","—",IF(F159&gt;=G159,"🔴 VENCIDO",IF(F159&gt;=(G159-2),"🟡 REVISAR","🟢 OK")))</f>
        <v>—</v>
      </c>
      <c r="N159" s="19"/>
    </row>
    <row r="160" customFormat="false" ht="19.5" hidden="false" customHeight="true" outlineLevel="0" collapsed="false">
      <c r="A160" s="18" t="s">
        <v>111</v>
      </c>
      <c r="B160" s="19"/>
      <c r="C160" s="43" t="s">
        <v>240</v>
      </c>
      <c r="D160" s="43" t="s">
        <v>241</v>
      </c>
      <c r="E160" s="19"/>
      <c r="F160" s="18" t="str">
        <f aca="true">IF(E160="","",TODAY()-E160)</f>
        <v/>
      </c>
      <c r="G160" s="44" t="n">
        <v>21</v>
      </c>
      <c r="H160" s="45" t="str">
        <f aca="false">IF(E160="","",E160+G160)</f>
        <v/>
      </c>
      <c r="I160" s="19"/>
      <c r="J160" s="19"/>
      <c r="K160" s="19"/>
      <c r="L160" s="26" t="s">
        <v>242</v>
      </c>
      <c r="M160" s="46" t="str">
        <f aca="false">IF(E160="","—",IF(F160&gt;=G160,"🔴 VENCIDO",IF(F160&gt;=(G160-2),"🟡 REVISAR","🟢 OK")))</f>
        <v>—</v>
      </c>
      <c r="N160" s="19"/>
    </row>
    <row r="161" customFormat="false" ht="19.5" hidden="false" customHeight="true" outlineLevel="0" collapsed="false">
      <c r="A161" s="18" t="s">
        <v>111</v>
      </c>
      <c r="B161" s="19"/>
      <c r="C161" s="43" t="s">
        <v>243</v>
      </c>
      <c r="D161" s="43" t="s">
        <v>244</v>
      </c>
      <c r="E161" s="19"/>
      <c r="F161" s="18" t="str">
        <f aca="true">IF(E161="","",TODAY()-E161)</f>
        <v/>
      </c>
      <c r="G161" s="44" t="n">
        <v>30</v>
      </c>
      <c r="H161" s="45" t="str">
        <f aca="false">IF(E161="","",E161+G161)</f>
        <v/>
      </c>
      <c r="I161" s="19"/>
      <c r="J161" s="19"/>
      <c r="K161" s="19"/>
      <c r="L161" s="26" t="s">
        <v>245</v>
      </c>
      <c r="M161" s="46" t="str">
        <f aca="false">IF(E161="","—",IF(F161&gt;=G161,"🔴 VENCIDO",IF(F161&gt;=(G161-2),"🟡 REVISAR","🟢 OK")))</f>
        <v>—</v>
      </c>
      <c r="N161" s="19"/>
    </row>
    <row r="162" customFormat="false" ht="19.5" hidden="false" customHeight="true" outlineLevel="0" collapsed="false">
      <c r="A162" s="18" t="s">
        <v>111</v>
      </c>
      <c r="B162" s="19"/>
      <c r="C162" s="43" t="s">
        <v>246</v>
      </c>
      <c r="D162" s="43" t="s">
        <v>247</v>
      </c>
      <c r="E162" s="19"/>
      <c r="F162" s="18" t="str">
        <f aca="true">IF(E162="","",TODAY()-E162)</f>
        <v/>
      </c>
      <c r="G162" s="44" t="n">
        <v>14</v>
      </c>
      <c r="H162" s="45" t="str">
        <f aca="false">IF(E162="","",E162+G162)</f>
        <v/>
      </c>
      <c r="I162" s="19"/>
      <c r="J162" s="19"/>
      <c r="K162" s="19"/>
      <c r="L162" s="26" t="s">
        <v>248</v>
      </c>
      <c r="M162" s="46" t="str">
        <f aca="false">IF(E162="","—",IF(F162&gt;=G162,"🔴 VENCIDO",IF(F162&gt;=(G162-2),"🟡 REVISAR","🟢 OK")))</f>
        <v>—</v>
      </c>
      <c r="N162" s="19"/>
    </row>
    <row r="163" customFormat="false" ht="19.5" hidden="false" customHeight="true" outlineLevel="0" collapsed="false">
      <c r="A163" s="18" t="s">
        <v>111</v>
      </c>
      <c r="B163" s="19"/>
      <c r="C163" s="43" t="s">
        <v>249</v>
      </c>
      <c r="D163" s="43" t="s">
        <v>250</v>
      </c>
      <c r="E163" s="19"/>
      <c r="F163" s="18" t="str">
        <f aca="true">IF(E163="","",TODAY()-E163)</f>
        <v/>
      </c>
      <c r="G163" s="44" t="n">
        <v>14</v>
      </c>
      <c r="H163" s="45" t="str">
        <f aca="false">IF(E163="","",E163+G163)</f>
        <v/>
      </c>
      <c r="I163" s="19"/>
      <c r="J163" s="19"/>
      <c r="K163" s="19"/>
      <c r="L163" s="26" t="s">
        <v>251</v>
      </c>
      <c r="M163" s="46" t="str">
        <f aca="false">IF(E163="","—",IF(F163&gt;=G163,"🔴 VENCIDO",IF(F163&gt;=(G163-2),"🟡 REVISAR","🟢 OK")))</f>
        <v>—</v>
      </c>
      <c r="N163" s="19"/>
    </row>
    <row r="164" customFormat="false" ht="19.5" hidden="false" customHeight="true" outlineLevel="0" collapsed="false">
      <c r="A164" s="18" t="s">
        <v>111</v>
      </c>
      <c r="B164" s="19"/>
      <c r="C164" s="43" t="s">
        <v>252</v>
      </c>
      <c r="D164" s="43" t="s">
        <v>253</v>
      </c>
      <c r="E164" s="19"/>
      <c r="F164" s="18" t="str">
        <f aca="true">IF(E164="","",TODAY()-E164)</f>
        <v/>
      </c>
      <c r="G164" s="44" t="n">
        <v>14</v>
      </c>
      <c r="H164" s="45" t="str">
        <f aca="false">IF(E164="","",E164+G164)</f>
        <v/>
      </c>
      <c r="I164" s="19"/>
      <c r="J164" s="19"/>
      <c r="K164" s="19"/>
      <c r="L164" s="26" t="s">
        <v>254</v>
      </c>
      <c r="M164" s="46" t="str">
        <f aca="false">IF(E164="","—",IF(F164&gt;=G164,"🔴 VENCIDO",IF(F164&gt;=(G164-2),"🟡 REVISAR","🟢 OK")))</f>
        <v>—</v>
      </c>
      <c r="N164" s="19"/>
    </row>
    <row r="165" customFormat="false" ht="19.5" hidden="false" customHeight="true" outlineLevel="0" collapsed="false">
      <c r="A165" s="18" t="s">
        <v>111</v>
      </c>
      <c r="B165" s="19"/>
      <c r="C165" s="43" t="s">
        <v>255</v>
      </c>
      <c r="D165" s="43" t="s">
        <v>256</v>
      </c>
      <c r="E165" s="19"/>
      <c r="F165" s="18" t="str">
        <f aca="true">IF(E165="","",TODAY()-E165)</f>
        <v/>
      </c>
      <c r="G165" s="44" t="n">
        <v>90</v>
      </c>
      <c r="H165" s="45" t="str">
        <f aca="false">IF(E165="","",E165+G165)</f>
        <v/>
      </c>
      <c r="I165" s="19"/>
      <c r="J165" s="19"/>
      <c r="K165" s="19"/>
      <c r="L165" s="26" t="s">
        <v>257</v>
      </c>
      <c r="M165" s="46" t="str">
        <f aca="false">IF(E165="","—",IF(F165&gt;=G165,"🔴 VENCIDO",IF(F165&gt;=(G165-2),"🟡 REVISAR","🟢 OK")))</f>
        <v>—</v>
      </c>
      <c r="N165" s="19"/>
    </row>
    <row r="166" customFormat="false" ht="19.5" hidden="false" customHeight="true" outlineLevel="0" collapsed="false">
      <c r="A166" s="18" t="s">
        <v>111</v>
      </c>
      <c r="B166" s="19"/>
      <c r="C166" s="43" t="s">
        <v>258</v>
      </c>
      <c r="D166" s="43" t="s">
        <v>259</v>
      </c>
      <c r="E166" s="19"/>
      <c r="F166" s="18" t="str">
        <f aca="true">IF(E166="","",TODAY()-E166)</f>
        <v/>
      </c>
      <c r="G166" s="44" t="n">
        <v>4</v>
      </c>
      <c r="H166" s="45" t="str">
        <f aca="false">IF(E166="","",E166+G166)</f>
        <v/>
      </c>
      <c r="I166" s="19"/>
      <c r="J166" s="19"/>
      <c r="K166" s="19"/>
      <c r="L166" s="26" t="s">
        <v>260</v>
      </c>
      <c r="M166" s="46" t="str">
        <f aca="false">IF(E166="","—",IF(F166&gt;=G166,"🔴 VENCIDO",IF(F166&gt;=(G166-2),"🟡 REVISAR","🟢 OK")))</f>
        <v>—</v>
      </c>
      <c r="N166" s="19"/>
    </row>
    <row r="167" customFormat="false" ht="19.5" hidden="false" customHeight="true" outlineLevel="0" collapsed="false">
      <c r="A167" s="18" t="s">
        <v>111</v>
      </c>
      <c r="B167" s="19"/>
      <c r="C167" s="43" t="s">
        <v>261</v>
      </c>
      <c r="D167" s="43" t="s">
        <v>262</v>
      </c>
      <c r="E167" s="19"/>
      <c r="F167" s="18" t="str">
        <f aca="true">IF(E167="","",TODAY()-E167)</f>
        <v/>
      </c>
      <c r="G167" s="44" t="n">
        <v>2</v>
      </c>
      <c r="H167" s="45" t="str">
        <f aca="false">IF(E167="","",E167+G167)</f>
        <v/>
      </c>
      <c r="I167" s="19"/>
      <c r="J167" s="19"/>
      <c r="K167" s="19"/>
      <c r="L167" s="26" t="s">
        <v>263</v>
      </c>
      <c r="M167" s="46" t="str">
        <f aca="false">IF(E167="","—",IF(F167&gt;=G167,"🔴 VENCIDO",IF(F167&gt;=(G167-2),"🟡 REVISAR","🟢 OK")))</f>
        <v>—</v>
      </c>
      <c r="N167" s="19"/>
    </row>
    <row r="168" customFormat="false" ht="19.5" hidden="false" customHeight="true" outlineLevel="0" collapsed="false">
      <c r="A168" s="18" t="s">
        <v>111</v>
      </c>
      <c r="B168" s="19"/>
      <c r="C168" s="43" t="s">
        <v>264</v>
      </c>
      <c r="D168" s="43" t="s">
        <v>265</v>
      </c>
      <c r="E168" s="19"/>
      <c r="F168" s="18" t="str">
        <f aca="true">IF(E168="","",TODAY()-E168)</f>
        <v/>
      </c>
      <c r="G168" s="44" t="n">
        <v>7</v>
      </c>
      <c r="H168" s="45" t="str">
        <f aca="false">IF(E168="","",E168+G168)</f>
        <v/>
      </c>
      <c r="I168" s="19"/>
      <c r="J168" s="19"/>
      <c r="K168" s="19"/>
      <c r="L168" s="26" t="s">
        <v>266</v>
      </c>
      <c r="M168" s="46" t="str">
        <f aca="false">IF(E168="","—",IF(F168&gt;=G168,"🔴 VENCIDO",IF(F168&gt;=(G168-2),"🟡 REVISAR","🟢 OK")))</f>
        <v>—</v>
      </c>
      <c r="N168" s="19"/>
    </row>
    <row r="169" customFormat="false" ht="19.5" hidden="false" customHeight="true" outlineLevel="0" collapsed="false">
      <c r="A169" s="18" t="s">
        <v>111</v>
      </c>
      <c r="B169" s="19"/>
      <c r="C169" s="43" t="s">
        <v>267</v>
      </c>
      <c r="D169" s="43" t="s">
        <v>268</v>
      </c>
      <c r="E169" s="19"/>
      <c r="F169" s="18" t="str">
        <f aca="true">IF(E169="","",TODAY()-E169)</f>
        <v/>
      </c>
      <c r="G169" s="44" t="n">
        <v>14</v>
      </c>
      <c r="H169" s="45" t="str">
        <f aca="false">IF(E169="","",E169+G169)</f>
        <v/>
      </c>
      <c r="I169" s="19"/>
      <c r="J169" s="19"/>
      <c r="K169" s="19"/>
      <c r="L169" s="26" t="s">
        <v>269</v>
      </c>
      <c r="M169" s="46" t="str">
        <f aca="false">IF(E169="","—",IF(F169&gt;=G169,"🔴 VENCIDO",IF(F169&gt;=(G169-2),"🟡 REVISAR","🟢 OK")))</f>
        <v>—</v>
      </c>
      <c r="N169" s="19"/>
    </row>
    <row r="170" customFormat="false" ht="19.5" hidden="false" customHeight="true" outlineLevel="0" collapsed="false">
      <c r="A170" s="18" t="s">
        <v>111</v>
      </c>
      <c r="B170" s="19"/>
      <c r="C170" s="43" t="s">
        <v>270</v>
      </c>
      <c r="D170" s="43" t="s">
        <v>271</v>
      </c>
      <c r="E170" s="19"/>
      <c r="F170" s="18" t="str">
        <f aca="true">IF(E170="","",TODAY()-E170)</f>
        <v/>
      </c>
      <c r="G170" s="44" t="n">
        <v>7</v>
      </c>
      <c r="H170" s="45" t="str">
        <f aca="false">IF(E170="","",E170+G170)</f>
        <v/>
      </c>
      <c r="I170" s="19"/>
      <c r="J170" s="19"/>
      <c r="K170" s="19"/>
      <c r="L170" s="26" t="s">
        <v>239</v>
      </c>
      <c r="M170" s="46" t="str">
        <f aca="false">IF(E170="","—",IF(F170&gt;=G170,"🔴 VENCIDO",IF(F170&gt;=(G170-2),"🟡 REVISAR","🟢 OK")))</f>
        <v>—</v>
      </c>
      <c r="N170" s="19"/>
    </row>
    <row r="171" customFormat="false" ht="19.5" hidden="false" customHeight="true" outlineLevel="0" collapsed="false">
      <c r="A171" s="18" t="s">
        <v>111</v>
      </c>
      <c r="B171" s="19"/>
      <c r="C171" s="43" t="s">
        <v>272</v>
      </c>
      <c r="D171" s="43" t="s">
        <v>273</v>
      </c>
      <c r="E171" s="19"/>
      <c r="F171" s="18" t="str">
        <f aca="true">IF(E171="","",TODAY()-E171)</f>
        <v/>
      </c>
      <c r="G171" s="44" t="n">
        <v>90</v>
      </c>
      <c r="H171" s="45" t="str">
        <f aca="false">IF(E171="","",E171+G171)</f>
        <v/>
      </c>
      <c r="I171" s="19"/>
      <c r="J171" s="19"/>
      <c r="K171" s="19"/>
      <c r="L171" s="26" t="s">
        <v>274</v>
      </c>
      <c r="M171" s="46" t="str">
        <f aca="false">IF(E171="","—",IF(F171&gt;=G171,"🔴 VENCIDO",IF(F171&gt;=(G171-2),"🟡 REVISAR","🟢 OK")))</f>
        <v>—</v>
      </c>
      <c r="N171" s="19"/>
    </row>
    <row r="172" customFormat="false" ht="19.5" hidden="false" customHeight="true" outlineLevel="0" collapsed="false">
      <c r="A172" s="18" t="s">
        <v>111</v>
      </c>
      <c r="B172" s="19"/>
      <c r="C172" s="43" t="s">
        <v>275</v>
      </c>
      <c r="D172" s="43" t="s">
        <v>276</v>
      </c>
      <c r="E172" s="19"/>
      <c r="F172" s="18" t="str">
        <f aca="true">IF(E172="","",TODAY()-E172)</f>
        <v/>
      </c>
      <c r="G172" s="44" t="n">
        <v>21</v>
      </c>
      <c r="H172" s="45" t="str">
        <f aca="false">IF(E172="","",E172+G172)</f>
        <v/>
      </c>
      <c r="I172" s="19"/>
      <c r="J172" s="19"/>
      <c r="K172" s="19"/>
      <c r="L172" s="26" t="s">
        <v>277</v>
      </c>
      <c r="M172" s="46" t="str">
        <f aca="false">IF(E172="","—",IF(F172&gt;=G172,"🔴 VENCIDO",IF(F172&gt;=(G172-2),"🟡 REVISAR","🟢 OK")))</f>
        <v>—</v>
      </c>
      <c r="N172" s="19"/>
    </row>
    <row r="173" customFormat="false" ht="6" hidden="false" customHeight="true" outlineLevel="0" collapsed="false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</row>
    <row r="174" customFormat="false" ht="19.5" hidden="false" customHeight="true" outlineLevel="0" collapsed="false">
      <c r="A174" s="18" t="s">
        <v>112</v>
      </c>
      <c r="B174" s="19"/>
      <c r="C174" s="43" t="s">
        <v>226</v>
      </c>
      <c r="D174" s="43" t="s">
        <v>227</v>
      </c>
      <c r="E174" s="19"/>
      <c r="F174" s="18" t="str">
        <f aca="true">IF(E174="","",TODAY()-E174)</f>
        <v/>
      </c>
      <c r="G174" s="44" t="n">
        <v>14</v>
      </c>
      <c r="H174" s="45" t="str">
        <f aca="false">IF(E174="","",E174+G174)</f>
        <v/>
      </c>
      <c r="I174" s="19"/>
      <c r="J174" s="19"/>
      <c r="K174" s="19"/>
      <c r="L174" s="26" t="s">
        <v>228</v>
      </c>
      <c r="M174" s="46" t="str">
        <f aca="false">IF(E174="","—",IF(F174&gt;=G174,"🔴 VENCIDO",IF(F174&gt;=(G174-2),"🟡 REVISAR","🟢 OK")))</f>
        <v>—</v>
      </c>
      <c r="N174" s="19"/>
    </row>
    <row r="175" customFormat="false" ht="19.5" hidden="false" customHeight="true" outlineLevel="0" collapsed="false">
      <c r="A175" s="18" t="s">
        <v>112</v>
      </c>
      <c r="B175" s="19"/>
      <c r="C175" s="43" t="s">
        <v>229</v>
      </c>
      <c r="D175" s="43" t="s">
        <v>230</v>
      </c>
      <c r="E175" s="19"/>
      <c r="F175" s="18" t="str">
        <f aca="true">IF(E175="","",TODAY()-E175)</f>
        <v/>
      </c>
      <c r="G175" s="44" t="n">
        <v>7</v>
      </c>
      <c r="H175" s="45" t="str">
        <f aca="false">IF(E175="","",E175+G175)</f>
        <v/>
      </c>
      <c r="I175" s="19"/>
      <c r="J175" s="19"/>
      <c r="K175" s="19"/>
      <c r="L175" s="26" t="s">
        <v>231</v>
      </c>
      <c r="M175" s="46" t="str">
        <f aca="false">IF(E175="","—",IF(F175&gt;=G175,"🔴 VENCIDO",IF(F175&gt;=(G175-2),"🟡 REVISAR","🟢 OK")))</f>
        <v>—</v>
      </c>
      <c r="N175" s="19"/>
    </row>
    <row r="176" customFormat="false" ht="19.5" hidden="false" customHeight="true" outlineLevel="0" collapsed="false">
      <c r="A176" s="18" t="s">
        <v>112</v>
      </c>
      <c r="B176" s="19"/>
      <c r="C176" s="43" t="s">
        <v>232</v>
      </c>
      <c r="D176" s="43" t="s">
        <v>233</v>
      </c>
      <c r="E176" s="19"/>
      <c r="F176" s="18" t="str">
        <f aca="true">IF(E176="","",TODAY()-E176)</f>
        <v/>
      </c>
      <c r="G176" s="44" t="n">
        <v>30</v>
      </c>
      <c r="H176" s="45" t="str">
        <f aca="false">IF(E176="","",E176+G176)</f>
        <v/>
      </c>
      <c r="I176" s="19"/>
      <c r="J176" s="19"/>
      <c r="K176" s="19"/>
      <c r="L176" s="26" t="s">
        <v>234</v>
      </c>
      <c r="M176" s="46" t="str">
        <f aca="false">IF(E176="","—",IF(F176&gt;=G176,"🔴 VENCIDO",IF(F176&gt;=(G176-2),"🟡 REVISAR","🟢 OK")))</f>
        <v>—</v>
      </c>
      <c r="N176" s="19"/>
    </row>
    <row r="177" customFormat="false" ht="19.5" hidden="false" customHeight="true" outlineLevel="0" collapsed="false">
      <c r="A177" s="18" t="s">
        <v>112</v>
      </c>
      <c r="B177" s="19"/>
      <c r="C177" s="43" t="s">
        <v>235</v>
      </c>
      <c r="D177" s="43" t="s">
        <v>236</v>
      </c>
      <c r="E177" s="19"/>
      <c r="F177" s="18" t="str">
        <f aca="true">IF(E177="","",TODAY()-E177)</f>
        <v/>
      </c>
      <c r="G177" s="44" t="n">
        <v>30</v>
      </c>
      <c r="H177" s="45" t="str">
        <f aca="false">IF(E177="","",E177+G177)</f>
        <v/>
      </c>
      <c r="I177" s="19"/>
      <c r="J177" s="19"/>
      <c r="K177" s="19"/>
      <c r="L177" s="26" t="s">
        <v>237</v>
      </c>
      <c r="M177" s="46" t="str">
        <f aca="false">IF(E177="","—",IF(F177&gt;=G177,"🔴 VENCIDO",IF(F177&gt;=(G177-2),"🟡 REVISAR","🟢 OK")))</f>
        <v>—</v>
      </c>
      <c r="N177" s="19"/>
    </row>
    <row r="178" customFormat="false" ht="19.5" hidden="false" customHeight="true" outlineLevel="0" collapsed="false">
      <c r="A178" s="18" t="s">
        <v>112</v>
      </c>
      <c r="B178" s="19"/>
      <c r="C178" s="43" t="s">
        <v>238</v>
      </c>
      <c r="D178" s="43" t="s">
        <v>236</v>
      </c>
      <c r="E178" s="19"/>
      <c r="F178" s="18" t="str">
        <f aca="true">IF(E178="","",TODAY()-E178)</f>
        <v/>
      </c>
      <c r="G178" s="44" t="n">
        <v>14</v>
      </c>
      <c r="H178" s="45" t="str">
        <f aca="false">IF(E178="","",E178+G178)</f>
        <v/>
      </c>
      <c r="I178" s="19"/>
      <c r="J178" s="19"/>
      <c r="K178" s="19"/>
      <c r="L178" s="26" t="s">
        <v>239</v>
      </c>
      <c r="M178" s="46" t="str">
        <f aca="false">IF(E178="","—",IF(F178&gt;=G178,"🔴 VENCIDO",IF(F178&gt;=(G178-2),"🟡 REVISAR","🟢 OK")))</f>
        <v>—</v>
      </c>
      <c r="N178" s="19"/>
    </row>
    <row r="179" customFormat="false" ht="19.5" hidden="false" customHeight="true" outlineLevel="0" collapsed="false">
      <c r="A179" s="18" t="s">
        <v>112</v>
      </c>
      <c r="B179" s="19"/>
      <c r="C179" s="43" t="s">
        <v>240</v>
      </c>
      <c r="D179" s="43" t="s">
        <v>241</v>
      </c>
      <c r="E179" s="19"/>
      <c r="F179" s="18" t="str">
        <f aca="true">IF(E179="","",TODAY()-E179)</f>
        <v/>
      </c>
      <c r="G179" s="44" t="n">
        <v>21</v>
      </c>
      <c r="H179" s="45" t="str">
        <f aca="false">IF(E179="","",E179+G179)</f>
        <v/>
      </c>
      <c r="I179" s="19"/>
      <c r="J179" s="19"/>
      <c r="K179" s="19"/>
      <c r="L179" s="26" t="s">
        <v>242</v>
      </c>
      <c r="M179" s="46" t="str">
        <f aca="false">IF(E179="","—",IF(F179&gt;=G179,"🔴 VENCIDO",IF(F179&gt;=(G179-2),"🟡 REVISAR","🟢 OK")))</f>
        <v>—</v>
      </c>
      <c r="N179" s="19"/>
    </row>
    <row r="180" customFormat="false" ht="19.5" hidden="false" customHeight="true" outlineLevel="0" collapsed="false">
      <c r="A180" s="18" t="s">
        <v>112</v>
      </c>
      <c r="B180" s="19"/>
      <c r="C180" s="43" t="s">
        <v>243</v>
      </c>
      <c r="D180" s="43" t="s">
        <v>244</v>
      </c>
      <c r="E180" s="19"/>
      <c r="F180" s="18" t="str">
        <f aca="true">IF(E180="","",TODAY()-E180)</f>
        <v/>
      </c>
      <c r="G180" s="44" t="n">
        <v>30</v>
      </c>
      <c r="H180" s="45" t="str">
        <f aca="false">IF(E180="","",E180+G180)</f>
        <v/>
      </c>
      <c r="I180" s="19"/>
      <c r="J180" s="19"/>
      <c r="K180" s="19"/>
      <c r="L180" s="26" t="s">
        <v>245</v>
      </c>
      <c r="M180" s="46" t="str">
        <f aca="false">IF(E180="","—",IF(F180&gt;=G180,"🔴 VENCIDO",IF(F180&gt;=(G180-2),"🟡 REVISAR","🟢 OK")))</f>
        <v>—</v>
      </c>
      <c r="N180" s="19"/>
    </row>
    <row r="181" customFormat="false" ht="19.5" hidden="false" customHeight="true" outlineLevel="0" collapsed="false">
      <c r="A181" s="18" t="s">
        <v>112</v>
      </c>
      <c r="B181" s="19"/>
      <c r="C181" s="43" t="s">
        <v>246</v>
      </c>
      <c r="D181" s="43" t="s">
        <v>247</v>
      </c>
      <c r="E181" s="19"/>
      <c r="F181" s="18" t="str">
        <f aca="true">IF(E181="","",TODAY()-E181)</f>
        <v/>
      </c>
      <c r="G181" s="44" t="n">
        <v>14</v>
      </c>
      <c r="H181" s="45" t="str">
        <f aca="false">IF(E181="","",E181+G181)</f>
        <v/>
      </c>
      <c r="I181" s="19"/>
      <c r="J181" s="19"/>
      <c r="K181" s="19"/>
      <c r="L181" s="26" t="s">
        <v>248</v>
      </c>
      <c r="M181" s="46" t="str">
        <f aca="false">IF(E181="","—",IF(F181&gt;=G181,"🔴 VENCIDO",IF(F181&gt;=(G181-2),"🟡 REVISAR","🟢 OK")))</f>
        <v>—</v>
      </c>
      <c r="N181" s="19"/>
    </row>
    <row r="182" customFormat="false" ht="19.5" hidden="false" customHeight="true" outlineLevel="0" collapsed="false">
      <c r="A182" s="18" t="s">
        <v>112</v>
      </c>
      <c r="B182" s="19"/>
      <c r="C182" s="43" t="s">
        <v>249</v>
      </c>
      <c r="D182" s="43" t="s">
        <v>250</v>
      </c>
      <c r="E182" s="19"/>
      <c r="F182" s="18" t="str">
        <f aca="true">IF(E182="","",TODAY()-E182)</f>
        <v/>
      </c>
      <c r="G182" s="44" t="n">
        <v>14</v>
      </c>
      <c r="H182" s="45" t="str">
        <f aca="false">IF(E182="","",E182+G182)</f>
        <v/>
      </c>
      <c r="I182" s="19"/>
      <c r="J182" s="19"/>
      <c r="K182" s="19"/>
      <c r="L182" s="26" t="s">
        <v>251</v>
      </c>
      <c r="M182" s="46" t="str">
        <f aca="false">IF(E182="","—",IF(F182&gt;=G182,"🔴 VENCIDO",IF(F182&gt;=(G182-2),"🟡 REVISAR","🟢 OK")))</f>
        <v>—</v>
      </c>
      <c r="N182" s="19"/>
    </row>
    <row r="183" customFormat="false" ht="19.5" hidden="false" customHeight="true" outlineLevel="0" collapsed="false">
      <c r="A183" s="18" t="s">
        <v>112</v>
      </c>
      <c r="B183" s="19"/>
      <c r="C183" s="43" t="s">
        <v>252</v>
      </c>
      <c r="D183" s="43" t="s">
        <v>253</v>
      </c>
      <c r="E183" s="19"/>
      <c r="F183" s="18" t="str">
        <f aca="true">IF(E183="","",TODAY()-E183)</f>
        <v/>
      </c>
      <c r="G183" s="44" t="n">
        <v>14</v>
      </c>
      <c r="H183" s="45" t="str">
        <f aca="false">IF(E183="","",E183+G183)</f>
        <v/>
      </c>
      <c r="I183" s="19"/>
      <c r="J183" s="19"/>
      <c r="K183" s="19"/>
      <c r="L183" s="26" t="s">
        <v>254</v>
      </c>
      <c r="M183" s="46" t="str">
        <f aca="false">IF(E183="","—",IF(F183&gt;=G183,"🔴 VENCIDO",IF(F183&gt;=(G183-2),"🟡 REVISAR","🟢 OK")))</f>
        <v>—</v>
      </c>
      <c r="N183" s="19"/>
    </row>
    <row r="184" customFormat="false" ht="19.5" hidden="false" customHeight="true" outlineLevel="0" collapsed="false">
      <c r="A184" s="18" t="s">
        <v>112</v>
      </c>
      <c r="B184" s="19"/>
      <c r="C184" s="43" t="s">
        <v>255</v>
      </c>
      <c r="D184" s="43" t="s">
        <v>256</v>
      </c>
      <c r="E184" s="19"/>
      <c r="F184" s="18" t="str">
        <f aca="true">IF(E184="","",TODAY()-E184)</f>
        <v/>
      </c>
      <c r="G184" s="44" t="n">
        <v>90</v>
      </c>
      <c r="H184" s="45" t="str">
        <f aca="false">IF(E184="","",E184+G184)</f>
        <v/>
      </c>
      <c r="I184" s="19"/>
      <c r="J184" s="19"/>
      <c r="K184" s="19"/>
      <c r="L184" s="26" t="s">
        <v>257</v>
      </c>
      <c r="M184" s="46" t="str">
        <f aca="false">IF(E184="","—",IF(F184&gt;=G184,"🔴 VENCIDO",IF(F184&gt;=(G184-2),"🟡 REVISAR","🟢 OK")))</f>
        <v>—</v>
      </c>
      <c r="N184" s="19"/>
    </row>
    <row r="185" customFormat="false" ht="19.5" hidden="false" customHeight="true" outlineLevel="0" collapsed="false">
      <c r="A185" s="18" t="s">
        <v>112</v>
      </c>
      <c r="B185" s="19"/>
      <c r="C185" s="43" t="s">
        <v>258</v>
      </c>
      <c r="D185" s="43" t="s">
        <v>259</v>
      </c>
      <c r="E185" s="19"/>
      <c r="F185" s="18" t="str">
        <f aca="true">IF(E185="","",TODAY()-E185)</f>
        <v/>
      </c>
      <c r="G185" s="44" t="n">
        <v>4</v>
      </c>
      <c r="H185" s="45" t="str">
        <f aca="false">IF(E185="","",E185+G185)</f>
        <v/>
      </c>
      <c r="I185" s="19"/>
      <c r="J185" s="19"/>
      <c r="K185" s="19"/>
      <c r="L185" s="26" t="s">
        <v>260</v>
      </c>
      <c r="M185" s="46" t="str">
        <f aca="false">IF(E185="","—",IF(F185&gt;=G185,"🔴 VENCIDO",IF(F185&gt;=(G185-2),"🟡 REVISAR","🟢 OK")))</f>
        <v>—</v>
      </c>
      <c r="N185" s="19"/>
    </row>
    <row r="186" customFormat="false" ht="19.5" hidden="false" customHeight="true" outlineLevel="0" collapsed="false">
      <c r="A186" s="18" t="s">
        <v>112</v>
      </c>
      <c r="B186" s="19"/>
      <c r="C186" s="43" t="s">
        <v>261</v>
      </c>
      <c r="D186" s="43" t="s">
        <v>262</v>
      </c>
      <c r="E186" s="19"/>
      <c r="F186" s="18" t="str">
        <f aca="true">IF(E186="","",TODAY()-E186)</f>
        <v/>
      </c>
      <c r="G186" s="44" t="n">
        <v>2</v>
      </c>
      <c r="H186" s="45" t="str">
        <f aca="false">IF(E186="","",E186+G186)</f>
        <v/>
      </c>
      <c r="I186" s="19"/>
      <c r="J186" s="19"/>
      <c r="K186" s="19"/>
      <c r="L186" s="26" t="s">
        <v>263</v>
      </c>
      <c r="M186" s="46" t="str">
        <f aca="false">IF(E186="","—",IF(F186&gt;=G186,"🔴 VENCIDO",IF(F186&gt;=(G186-2),"🟡 REVISAR","🟢 OK")))</f>
        <v>—</v>
      </c>
      <c r="N186" s="19"/>
    </row>
    <row r="187" customFormat="false" ht="19.5" hidden="false" customHeight="true" outlineLevel="0" collapsed="false">
      <c r="A187" s="18" t="s">
        <v>112</v>
      </c>
      <c r="B187" s="19"/>
      <c r="C187" s="43" t="s">
        <v>264</v>
      </c>
      <c r="D187" s="43" t="s">
        <v>265</v>
      </c>
      <c r="E187" s="19"/>
      <c r="F187" s="18" t="str">
        <f aca="true">IF(E187="","",TODAY()-E187)</f>
        <v/>
      </c>
      <c r="G187" s="44" t="n">
        <v>7</v>
      </c>
      <c r="H187" s="45" t="str">
        <f aca="false">IF(E187="","",E187+G187)</f>
        <v/>
      </c>
      <c r="I187" s="19"/>
      <c r="J187" s="19"/>
      <c r="K187" s="19"/>
      <c r="L187" s="26" t="s">
        <v>266</v>
      </c>
      <c r="M187" s="46" t="str">
        <f aca="false">IF(E187="","—",IF(F187&gt;=G187,"🔴 VENCIDO",IF(F187&gt;=(G187-2),"🟡 REVISAR","🟢 OK")))</f>
        <v>—</v>
      </c>
      <c r="N187" s="19"/>
    </row>
    <row r="188" customFormat="false" ht="19.5" hidden="false" customHeight="true" outlineLevel="0" collapsed="false">
      <c r="A188" s="18" t="s">
        <v>112</v>
      </c>
      <c r="B188" s="19"/>
      <c r="C188" s="43" t="s">
        <v>267</v>
      </c>
      <c r="D188" s="43" t="s">
        <v>268</v>
      </c>
      <c r="E188" s="19"/>
      <c r="F188" s="18" t="str">
        <f aca="true">IF(E188="","",TODAY()-E188)</f>
        <v/>
      </c>
      <c r="G188" s="44" t="n">
        <v>14</v>
      </c>
      <c r="H188" s="45" t="str">
        <f aca="false">IF(E188="","",E188+G188)</f>
        <v/>
      </c>
      <c r="I188" s="19"/>
      <c r="J188" s="19"/>
      <c r="K188" s="19"/>
      <c r="L188" s="26" t="s">
        <v>269</v>
      </c>
      <c r="M188" s="46" t="str">
        <f aca="false">IF(E188="","—",IF(F188&gt;=G188,"🔴 VENCIDO",IF(F188&gt;=(G188-2),"🟡 REVISAR","🟢 OK")))</f>
        <v>—</v>
      </c>
      <c r="N188" s="19"/>
    </row>
    <row r="189" customFormat="false" ht="19.5" hidden="false" customHeight="true" outlineLevel="0" collapsed="false">
      <c r="A189" s="18" t="s">
        <v>112</v>
      </c>
      <c r="B189" s="19"/>
      <c r="C189" s="43" t="s">
        <v>270</v>
      </c>
      <c r="D189" s="43" t="s">
        <v>271</v>
      </c>
      <c r="E189" s="19"/>
      <c r="F189" s="18" t="str">
        <f aca="true">IF(E189="","",TODAY()-E189)</f>
        <v/>
      </c>
      <c r="G189" s="44" t="n">
        <v>7</v>
      </c>
      <c r="H189" s="45" t="str">
        <f aca="false">IF(E189="","",E189+G189)</f>
        <v/>
      </c>
      <c r="I189" s="19"/>
      <c r="J189" s="19"/>
      <c r="K189" s="19"/>
      <c r="L189" s="26" t="s">
        <v>239</v>
      </c>
      <c r="M189" s="46" t="str">
        <f aca="false">IF(E189="","—",IF(F189&gt;=G189,"🔴 VENCIDO",IF(F189&gt;=(G189-2),"🟡 REVISAR","🟢 OK")))</f>
        <v>—</v>
      </c>
      <c r="N189" s="19"/>
    </row>
    <row r="190" customFormat="false" ht="19.5" hidden="false" customHeight="true" outlineLevel="0" collapsed="false">
      <c r="A190" s="18" t="s">
        <v>112</v>
      </c>
      <c r="B190" s="19"/>
      <c r="C190" s="43" t="s">
        <v>272</v>
      </c>
      <c r="D190" s="43" t="s">
        <v>273</v>
      </c>
      <c r="E190" s="19"/>
      <c r="F190" s="18" t="str">
        <f aca="true">IF(E190="","",TODAY()-E190)</f>
        <v/>
      </c>
      <c r="G190" s="44" t="n">
        <v>90</v>
      </c>
      <c r="H190" s="45" t="str">
        <f aca="false">IF(E190="","",E190+G190)</f>
        <v/>
      </c>
      <c r="I190" s="19"/>
      <c r="J190" s="19"/>
      <c r="K190" s="19"/>
      <c r="L190" s="26" t="s">
        <v>274</v>
      </c>
      <c r="M190" s="46" t="str">
        <f aca="false">IF(E190="","—",IF(F190&gt;=G190,"🔴 VENCIDO",IF(F190&gt;=(G190-2),"🟡 REVISAR","🟢 OK")))</f>
        <v>—</v>
      </c>
      <c r="N190" s="19"/>
    </row>
    <row r="191" customFormat="false" ht="19.5" hidden="false" customHeight="true" outlineLevel="0" collapsed="false">
      <c r="A191" s="18" t="s">
        <v>112</v>
      </c>
      <c r="B191" s="19"/>
      <c r="C191" s="43" t="s">
        <v>275</v>
      </c>
      <c r="D191" s="43" t="s">
        <v>276</v>
      </c>
      <c r="E191" s="19"/>
      <c r="F191" s="18" t="str">
        <f aca="true">IF(E191="","",TODAY()-E191)</f>
        <v/>
      </c>
      <c r="G191" s="44" t="n">
        <v>21</v>
      </c>
      <c r="H191" s="45" t="str">
        <f aca="false">IF(E191="","",E191+G191)</f>
        <v/>
      </c>
      <c r="I191" s="19"/>
      <c r="J191" s="19"/>
      <c r="K191" s="19"/>
      <c r="L191" s="26" t="s">
        <v>277</v>
      </c>
      <c r="M191" s="46" t="str">
        <f aca="false">IF(E191="","—",IF(F191&gt;=G191,"🔴 VENCIDO",IF(F191&gt;=(G191-2),"🟡 REVISAR","🟢 OK")))</f>
        <v>—</v>
      </c>
      <c r="N191" s="19"/>
    </row>
    <row r="192" customFormat="false" ht="6" hidden="false" customHeight="true" outlineLevel="0" collapsed="false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</row>
    <row r="193" customFormat="false" ht="19.5" hidden="false" customHeight="true" outlineLevel="0" collapsed="false">
      <c r="A193" s="18" t="s">
        <v>113</v>
      </c>
      <c r="B193" s="19"/>
      <c r="C193" s="43" t="s">
        <v>226</v>
      </c>
      <c r="D193" s="43" t="s">
        <v>227</v>
      </c>
      <c r="E193" s="19"/>
      <c r="F193" s="18" t="str">
        <f aca="true">IF(E193="","",TODAY()-E193)</f>
        <v/>
      </c>
      <c r="G193" s="44" t="n">
        <v>14</v>
      </c>
      <c r="H193" s="45" t="str">
        <f aca="false">IF(E193="","",E193+G193)</f>
        <v/>
      </c>
      <c r="I193" s="19"/>
      <c r="J193" s="19"/>
      <c r="K193" s="19"/>
      <c r="L193" s="26" t="s">
        <v>228</v>
      </c>
      <c r="M193" s="46" t="str">
        <f aca="false">IF(E193="","—",IF(F193&gt;=G193,"🔴 VENCIDO",IF(F193&gt;=(G193-2),"🟡 REVISAR","🟢 OK")))</f>
        <v>—</v>
      </c>
      <c r="N193" s="19"/>
    </row>
    <row r="194" customFormat="false" ht="19.5" hidden="false" customHeight="true" outlineLevel="0" collapsed="false">
      <c r="A194" s="18" t="s">
        <v>113</v>
      </c>
      <c r="B194" s="19"/>
      <c r="C194" s="43" t="s">
        <v>229</v>
      </c>
      <c r="D194" s="43" t="s">
        <v>230</v>
      </c>
      <c r="E194" s="19"/>
      <c r="F194" s="18" t="str">
        <f aca="true">IF(E194="","",TODAY()-E194)</f>
        <v/>
      </c>
      <c r="G194" s="44" t="n">
        <v>7</v>
      </c>
      <c r="H194" s="45" t="str">
        <f aca="false">IF(E194="","",E194+G194)</f>
        <v/>
      </c>
      <c r="I194" s="19"/>
      <c r="J194" s="19"/>
      <c r="K194" s="19"/>
      <c r="L194" s="26" t="s">
        <v>231</v>
      </c>
      <c r="M194" s="46" t="str">
        <f aca="false">IF(E194="","—",IF(F194&gt;=G194,"🔴 VENCIDO",IF(F194&gt;=(G194-2),"🟡 REVISAR","🟢 OK")))</f>
        <v>—</v>
      </c>
      <c r="N194" s="19"/>
    </row>
    <row r="195" customFormat="false" ht="19.5" hidden="false" customHeight="true" outlineLevel="0" collapsed="false">
      <c r="A195" s="18" t="s">
        <v>113</v>
      </c>
      <c r="B195" s="19"/>
      <c r="C195" s="43" t="s">
        <v>232</v>
      </c>
      <c r="D195" s="43" t="s">
        <v>233</v>
      </c>
      <c r="E195" s="19"/>
      <c r="F195" s="18" t="str">
        <f aca="true">IF(E195="","",TODAY()-E195)</f>
        <v/>
      </c>
      <c r="G195" s="44" t="n">
        <v>30</v>
      </c>
      <c r="H195" s="45" t="str">
        <f aca="false">IF(E195="","",E195+G195)</f>
        <v/>
      </c>
      <c r="I195" s="19"/>
      <c r="J195" s="19"/>
      <c r="K195" s="19"/>
      <c r="L195" s="26" t="s">
        <v>234</v>
      </c>
      <c r="M195" s="46" t="str">
        <f aca="false">IF(E195="","—",IF(F195&gt;=G195,"🔴 VENCIDO",IF(F195&gt;=(G195-2),"🟡 REVISAR","🟢 OK")))</f>
        <v>—</v>
      </c>
      <c r="N195" s="19"/>
    </row>
    <row r="196" customFormat="false" ht="19.5" hidden="false" customHeight="true" outlineLevel="0" collapsed="false">
      <c r="A196" s="18" t="s">
        <v>113</v>
      </c>
      <c r="B196" s="19"/>
      <c r="C196" s="43" t="s">
        <v>235</v>
      </c>
      <c r="D196" s="43" t="s">
        <v>236</v>
      </c>
      <c r="E196" s="19"/>
      <c r="F196" s="18" t="str">
        <f aca="true">IF(E196="","",TODAY()-E196)</f>
        <v/>
      </c>
      <c r="G196" s="44" t="n">
        <v>30</v>
      </c>
      <c r="H196" s="45" t="str">
        <f aca="false">IF(E196="","",E196+G196)</f>
        <v/>
      </c>
      <c r="I196" s="19"/>
      <c r="J196" s="19"/>
      <c r="K196" s="19"/>
      <c r="L196" s="26" t="s">
        <v>237</v>
      </c>
      <c r="M196" s="46" t="str">
        <f aca="false">IF(E196="","—",IF(F196&gt;=G196,"🔴 VENCIDO",IF(F196&gt;=(G196-2),"🟡 REVISAR","🟢 OK")))</f>
        <v>—</v>
      </c>
      <c r="N196" s="19"/>
    </row>
    <row r="197" customFormat="false" ht="19.5" hidden="false" customHeight="true" outlineLevel="0" collapsed="false">
      <c r="A197" s="18" t="s">
        <v>113</v>
      </c>
      <c r="B197" s="19"/>
      <c r="C197" s="43" t="s">
        <v>238</v>
      </c>
      <c r="D197" s="43" t="s">
        <v>236</v>
      </c>
      <c r="E197" s="19"/>
      <c r="F197" s="18" t="str">
        <f aca="true">IF(E197="","",TODAY()-E197)</f>
        <v/>
      </c>
      <c r="G197" s="44" t="n">
        <v>14</v>
      </c>
      <c r="H197" s="45" t="str">
        <f aca="false">IF(E197="","",E197+G197)</f>
        <v/>
      </c>
      <c r="I197" s="19"/>
      <c r="J197" s="19"/>
      <c r="K197" s="19"/>
      <c r="L197" s="26" t="s">
        <v>239</v>
      </c>
      <c r="M197" s="46" t="str">
        <f aca="false">IF(E197="","—",IF(F197&gt;=G197,"🔴 VENCIDO",IF(F197&gt;=(G197-2),"🟡 REVISAR","🟢 OK")))</f>
        <v>—</v>
      </c>
      <c r="N197" s="19"/>
    </row>
    <row r="198" customFormat="false" ht="19.5" hidden="false" customHeight="true" outlineLevel="0" collapsed="false">
      <c r="A198" s="18" t="s">
        <v>113</v>
      </c>
      <c r="B198" s="19"/>
      <c r="C198" s="43" t="s">
        <v>240</v>
      </c>
      <c r="D198" s="43" t="s">
        <v>241</v>
      </c>
      <c r="E198" s="19"/>
      <c r="F198" s="18" t="str">
        <f aca="true">IF(E198="","",TODAY()-E198)</f>
        <v/>
      </c>
      <c r="G198" s="44" t="n">
        <v>21</v>
      </c>
      <c r="H198" s="45" t="str">
        <f aca="false">IF(E198="","",E198+G198)</f>
        <v/>
      </c>
      <c r="I198" s="19"/>
      <c r="J198" s="19"/>
      <c r="K198" s="19"/>
      <c r="L198" s="26" t="s">
        <v>242</v>
      </c>
      <c r="M198" s="46" t="str">
        <f aca="false">IF(E198="","—",IF(F198&gt;=G198,"🔴 VENCIDO",IF(F198&gt;=(G198-2),"🟡 REVISAR","🟢 OK")))</f>
        <v>—</v>
      </c>
      <c r="N198" s="19"/>
    </row>
    <row r="199" customFormat="false" ht="19.5" hidden="false" customHeight="true" outlineLevel="0" collapsed="false">
      <c r="A199" s="18" t="s">
        <v>113</v>
      </c>
      <c r="B199" s="19"/>
      <c r="C199" s="43" t="s">
        <v>243</v>
      </c>
      <c r="D199" s="43" t="s">
        <v>244</v>
      </c>
      <c r="E199" s="19"/>
      <c r="F199" s="18" t="str">
        <f aca="true">IF(E199="","",TODAY()-E199)</f>
        <v/>
      </c>
      <c r="G199" s="44" t="n">
        <v>30</v>
      </c>
      <c r="H199" s="45" t="str">
        <f aca="false">IF(E199="","",E199+G199)</f>
        <v/>
      </c>
      <c r="I199" s="19"/>
      <c r="J199" s="19"/>
      <c r="K199" s="19"/>
      <c r="L199" s="26" t="s">
        <v>245</v>
      </c>
      <c r="M199" s="46" t="str">
        <f aca="false">IF(E199="","—",IF(F199&gt;=G199,"🔴 VENCIDO",IF(F199&gt;=(G199-2),"🟡 REVISAR","🟢 OK")))</f>
        <v>—</v>
      </c>
      <c r="N199" s="19"/>
    </row>
    <row r="200" customFormat="false" ht="19.5" hidden="false" customHeight="true" outlineLevel="0" collapsed="false">
      <c r="A200" s="18" t="s">
        <v>113</v>
      </c>
      <c r="B200" s="19"/>
      <c r="C200" s="43" t="s">
        <v>246</v>
      </c>
      <c r="D200" s="43" t="s">
        <v>247</v>
      </c>
      <c r="E200" s="19"/>
      <c r="F200" s="18" t="str">
        <f aca="true">IF(E200="","",TODAY()-E200)</f>
        <v/>
      </c>
      <c r="G200" s="44" t="n">
        <v>14</v>
      </c>
      <c r="H200" s="45" t="str">
        <f aca="false">IF(E200="","",E200+G200)</f>
        <v/>
      </c>
      <c r="I200" s="19"/>
      <c r="J200" s="19"/>
      <c r="K200" s="19"/>
      <c r="L200" s="26" t="s">
        <v>248</v>
      </c>
      <c r="M200" s="46" t="str">
        <f aca="false">IF(E200="","—",IF(F200&gt;=G200,"🔴 VENCIDO",IF(F200&gt;=(G200-2),"🟡 REVISAR","🟢 OK")))</f>
        <v>—</v>
      </c>
      <c r="N200" s="19"/>
    </row>
    <row r="201" customFormat="false" ht="19.5" hidden="false" customHeight="true" outlineLevel="0" collapsed="false">
      <c r="A201" s="18" t="s">
        <v>113</v>
      </c>
      <c r="B201" s="19"/>
      <c r="C201" s="43" t="s">
        <v>249</v>
      </c>
      <c r="D201" s="43" t="s">
        <v>250</v>
      </c>
      <c r="E201" s="19"/>
      <c r="F201" s="18" t="str">
        <f aca="true">IF(E201="","",TODAY()-E201)</f>
        <v/>
      </c>
      <c r="G201" s="44" t="n">
        <v>14</v>
      </c>
      <c r="H201" s="45" t="str">
        <f aca="false">IF(E201="","",E201+G201)</f>
        <v/>
      </c>
      <c r="I201" s="19"/>
      <c r="J201" s="19"/>
      <c r="K201" s="19"/>
      <c r="L201" s="26" t="s">
        <v>251</v>
      </c>
      <c r="M201" s="46" t="str">
        <f aca="false">IF(E201="","—",IF(F201&gt;=G201,"🔴 VENCIDO",IF(F201&gt;=(G201-2),"🟡 REVISAR","🟢 OK")))</f>
        <v>—</v>
      </c>
      <c r="N201" s="19"/>
    </row>
    <row r="202" customFormat="false" ht="19.5" hidden="false" customHeight="true" outlineLevel="0" collapsed="false">
      <c r="A202" s="18" t="s">
        <v>113</v>
      </c>
      <c r="B202" s="19"/>
      <c r="C202" s="43" t="s">
        <v>252</v>
      </c>
      <c r="D202" s="43" t="s">
        <v>253</v>
      </c>
      <c r="E202" s="19"/>
      <c r="F202" s="18" t="str">
        <f aca="true">IF(E202="","",TODAY()-E202)</f>
        <v/>
      </c>
      <c r="G202" s="44" t="n">
        <v>14</v>
      </c>
      <c r="H202" s="45" t="str">
        <f aca="false">IF(E202="","",E202+G202)</f>
        <v/>
      </c>
      <c r="I202" s="19"/>
      <c r="J202" s="19"/>
      <c r="K202" s="19"/>
      <c r="L202" s="26" t="s">
        <v>254</v>
      </c>
      <c r="M202" s="46" t="str">
        <f aca="false">IF(E202="","—",IF(F202&gt;=G202,"🔴 VENCIDO",IF(F202&gt;=(G202-2),"🟡 REVISAR","🟢 OK")))</f>
        <v>—</v>
      </c>
      <c r="N202" s="19"/>
    </row>
    <row r="203" customFormat="false" ht="19.5" hidden="false" customHeight="true" outlineLevel="0" collapsed="false">
      <c r="A203" s="18" t="s">
        <v>113</v>
      </c>
      <c r="B203" s="19"/>
      <c r="C203" s="43" t="s">
        <v>255</v>
      </c>
      <c r="D203" s="43" t="s">
        <v>256</v>
      </c>
      <c r="E203" s="19"/>
      <c r="F203" s="18" t="str">
        <f aca="true">IF(E203="","",TODAY()-E203)</f>
        <v/>
      </c>
      <c r="G203" s="44" t="n">
        <v>90</v>
      </c>
      <c r="H203" s="45" t="str">
        <f aca="false">IF(E203="","",E203+G203)</f>
        <v/>
      </c>
      <c r="I203" s="19"/>
      <c r="J203" s="19"/>
      <c r="K203" s="19"/>
      <c r="L203" s="26" t="s">
        <v>257</v>
      </c>
      <c r="M203" s="46" t="str">
        <f aca="false">IF(E203="","—",IF(F203&gt;=G203,"🔴 VENCIDO",IF(F203&gt;=(G203-2),"🟡 REVISAR","🟢 OK")))</f>
        <v>—</v>
      </c>
      <c r="N203" s="19"/>
    </row>
    <row r="204" customFormat="false" ht="19.5" hidden="false" customHeight="true" outlineLevel="0" collapsed="false">
      <c r="A204" s="18" t="s">
        <v>113</v>
      </c>
      <c r="B204" s="19"/>
      <c r="C204" s="43" t="s">
        <v>258</v>
      </c>
      <c r="D204" s="43" t="s">
        <v>259</v>
      </c>
      <c r="E204" s="19"/>
      <c r="F204" s="18" t="str">
        <f aca="true">IF(E204="","",TODAY()-E204)</f>
        <v/>
      </c>
      <c r="G204" s="44" t="n">
        <v>4</v>
      </c>
      <c r="H204" s="45" t="str">
        <f aca="false">IF(E204="","",E204+G204)</f>
        <v/>
      </c>
      <c r="I204" s="19"/>
      <c r="J204" s="19"/>
      <c r="K204" s="19"/>
      <c r="L204" s="26" t="s">
        <v>260</v>
      </c>
      <c r="M204" s="46" t="str">
        <f aca="false">IF(E204="","—",IF(F204&gt;=G204,"🔴 VENCIDO",IF(F204&gt;=(G204-2),"🟡 REVISAR","🟢 OK")))</f>
        <v>—</v>
      </c>
      <c r="N204" s="19"/>
    </row>
    <row r="205" customFormat="false" ht="19.5" hidden="false" customHeight="true" outlineLevel="0" collapsed="false">
      <c r="A205" s="18" t="s">
        <v>113</v>
      </c>
      <c r="B205" s="19"/>
      <c r="C205" s="43" t="s">
        <v>261</v>
      </c>
      <c r="D205" s="43" t="s">
        <v>262</v>
      </c>
      <c r="E205" s="19"/>
      <c r="F205" s="18" t="str">
        <f aca="true">IF(E205="","",TODAY()-E205)</f>
        <v/>
      </c>
      <c r="G205" s="44" t="n">
        <v>2</v>
      </c>
      <c r="H205" s="45" t="str">
        <f aca="false">IF(E205="","",E205+G205)</f>
        <v/>
      </c>
      <c r="I205" s="19"/>
      <c r="J205" s="19"/>
      <c r="K205" s="19"/>
      <c r="L205" s="26" t="s">
        <v>263</v>
      </c>
      <c r="M205" s="46" t="str">
        <f aca="false">IF(E205="","—",IF(F205&gt;=G205,"🔴 VENCIDO",IF(F205&gt;=(G205-2),"🟡 REVISAR","🟢 OK")))</f>
        <v>—</v>
      </c>
      <c r="N205" s="19"/>
    </row>
    <row r="206" customFormat="false" ht="19.5" hidden="false" customHeight="true" outlineLevel="0" collapsed="false">
      <c r="A206" s="18" t="s">
        <v>113</v>
      </c>
      <c r="B206" s="19"/>
      <c r="C206" s="43" t="s">
        <v>264</v>
      </c>
      <c r="D206" s="43" t="s">
        <v>265</v>
      </c>
      <c r="E206" s="19"/>
      <c r="F206" s="18" t="str">
        <f aca="true">IF(E206="","",TODAY()-E206)</f>
        <v/>
      </c>
      <c r="G206" s="44" t="n">
        <v>7</v>
      </c>
      <c r="H206" s="45" t="str">
        <f aca="false">IF(E206="","",E206+G206)</f>
        <v/>
      </c>
      <c r="I206" s="19"/>
      <c r="J206" s="19"/>
      <c r="K206" s="19"/>
      <c r="L206" s="26" t="s">
        <v>266</v>
      </c>
      <c r="M206" s="46" t="str">
        <f aca="false">IF(E206="","—",IF(F206&gt;=G206,"🔴 VENCIDO",IF(F206&gt;=(G206-2),"🟡 REVISAR","🟢 OK")))</f>
        <v>—</v>
      </c>
      <c r="N206" s="19"/>
    </row>
    <row r="207" customFormat="false" ht="19.5" hidden="false" customHeight="true" outlineLevel="0" collapsed="false">
      <c r="A207" s="18" t="s">
        <v>113</v>
      </c>
      <c r="B207" s="19"/>
      <c r="C207" s="43" t="s">
        <v>267</v>
      </c>
      <c r="D207" s="43" t="s">
        <v>268</v>
      </c>
      <c r="E207" s="19"/>
      <c r="F207" s="18" t="str">
        <f aca="true">IF(E207="","",TODAY()-E207)</f>
        <v/>
      </c>
      <c r="G207" s="44" t="n">
        <v>14</v>
      </c>
      <c r="H207" s="45" t="str">
        <f aca="false">IF(E207="","",E207+G207)</f>
        <v/>
      </c>
      <c r="I207" s="19"/>
      <c r="J207" s="19"/>
      <c r="K207" s="19"/>
      <c r="L207" s="26" t="s">
        <v>269</v>
      </c>
      <c r="M207" s="46" t="str">
        <f aca="false">IF(E207="","—",IF(F207&gt;=G207,"🔴 VENCIDO",IF(F207&gt;=(G207-2),"🟡 REVISAR","🟢 OK")))</f>
        <v>—</v>
      </c>
      <c r="N207" s="19"/>
    </row>
    <row r="208" customFormat="false" ht="19.5" hidden="false" customHeight="true" outlineLevel="0" collapsed="false">
      <c r="A208" s="18" t="s">
        <v>113</v>
      </c>
      <c r="B208" s="19"/>
      <c r="C208" s="43" t="s">
        <v>270</v>
      </c>
      <c r="D208" s="43" t="s">
        <v>271</v>
      </c>
      <c r="E208" s="19"/>
      <c r="F208" s="18" t="str">
        <f aca="true">IF(E208="","",TODAY()-E208)</f>
        <v/>
      </c>
      <c r="G208" s="44" t="n">
        <v>7</v>
      </c>
      <c r="H208" s="45" t="str">
        <f aca="false">IF(E208="","",E208+G208)</f>
        <v/>
      </c>
      <c r="I208" s="19"/>
      <c r="J208" s="19"/>
      <c r="K208" s="19"/>
      <c r="L208" s="26" t="s">
        <v>239</v>
      </c>
      <c r="M208" s="46" t="str">
        <f aca="false">IF(E208="","—",IF(F208&gt;=G208,"🔴 VENCIDO",IF(F208&gt;=(G208-2),"🟡 REVISAR","🟢 OK")))</f>
        <v>—</v>
      </c>
      <c r="N208" s="19"/>
    </row>
    <row r="209" customFormat="false" ht="19.5" hidden="false" customHeight="true" outlineLevel="0" collapsed="false">
      <c r="A209" s="18" t="s">
        <v>113</v>
      </c>
      <c r="B209" s="19"/>
      <c r="C209" s="43" t="s">
        <v>272</v>
      </c>
      <c r="D209" s="43" t="s">
        <v>273</v>
      </c>
      <c r="E209" s="19"/>
      <c r="F209" s="18" t="str">
        <f aca="true">IF(E209="","",TODAY()-E209)</f>
        <v/>
      </c>
      <c r="G209" s="44" t="n">
        <v>90</v>
      </c>
      <c r="H209" s="45" t="str">
        <f aca="false">IF(E209="","",E209+G209)</f>
        <v/>
      </c>
      <c r="I209" s="19"/>
      <c r="J209" s="19"/>
      <c r="K209" s="19"/>
      <c r="L209" s="26" t="s">
        <v>274</v>
      </c>
      <c r="M209" s="46" t="str">
        <f aca="false">IF(E209="","—",IF(F209&gt;=G209,"🔴 VENCIDO",IF(F209&gt;=(G209-2),"🟡 REVISAR","🟢 OK")))</f>
        <v>—</v>
      </c>
      <c r="N209" s="19"/>
    </row>
    <row r="210" customFormat="false" ht="19.5" hidden="false" customHeight="true" outlineLevel="0" collapsed="false">
      <c r="A210" s="18" t="s">
        <v>113</v>
      </c>
      <c r="B210" s="19"/>
      <c r="C210" s="43" t="s">
        <v>275</v>
      </c>
      <c r="D210" s="43" t="s">
        <v>276</v>
      </c>
      <c r="E210" s="19"/>
      <c r="F210" s="18" t="str">
        <f aca="true">IF(E210="","",TODAY()-E210)</f>
        <v/>
      </c>
      <c r="G210" s="44" t="n">
        <v>21</v>
      </c>
      <c r="H210" s="45" t="str">
        <f aca="false">IF(E210="","",E210+G210)</f>
        <v/>
      </c>
      <c r="I210" s="19"/>
      <c r="J210" s="19"/>
      <c r="K210" s="19"/>
      <c r="L210" s="26" t="s">
        <v>277</v>
      </c>
      <c r="M210" s="46" t="str">
        <f aca="false">IF(E210="","—",IF(F210&gt;=G210,"🔴 VENCIDO",IF(F210&gt;=(G210-2),"🟡 REVISAR","🟢 OK")))</f>
        <v>—</v>
      </c>
      <c r="N210" s="19"/>
    </row>
    <row r="211" customFormat="false" ht="6" hidden="false" customHeight="true" outlineLevel="0" collapsed="false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</row>
    <row r="212" customFormat="false" ht="19.5" hidden="false" customHeight="true" outlineLevel="0" collapsed="false">
      <c r="A212" s="18" t="s">
        <v>114</v>
      </c>
      <c r="B212" s="19"/>
      <c r="C212" s="43" t="s">
        <v>226</v>
      </c>
      <c r="D212" s="43" t="s">
        <v>227</v>
      </c>
      <c r="E212" s="19"/>
      <c r="F212" s="18" t="str">
        <f aca="true">IF(E212="","",TODAY()-E212)</f>
        <v/>
      </c>
      <c r="G212" s="44" t="n">
        <v>14</v>
      </c>
      <c r="H212" s="45" t="str">
        <f aca="false">IF(E212="","",E212+G212)</f>
        <v/>
      </c>
      <c r="I212" s="19"/>
      <c r="J212" s="19"/>
      <c r="K212" s="19"/>
      <c r="L212" s="26" t="s">
        <v>228</v>
      </c>
      <c r="M212" s="46" t="str">
        <f aca="false">IF(E212="","—",IF(F212&gt;=G212,"🔴 VENCIDO",IF(F212&gt;=(G212-2),"🟡 REVISAR","🟢 OK")))</f>
        <v>—</v>
      </c>
      <c r="N212" s="19"/>
    </row>
    <row r="213" customFormat="false" ht="19.5" hidden="false" customHeight="true" outlineLevel="0" collapsed="false">
      <c r="A213" s="18" t="s">
        <v>114</v>
      </c>
      <c r="B213" s="19"/>
      <c r="C213" s="43" t="s">
        <v>229</v>
      </c>
      <c r="D213" s="43" t="s">
        <v>230</v>
      </c>
      <c r="E213" s="19"/>
      <c r="F213" s="18" t="str">
        <f aca="true">IF(E213="","",TODAY()-E213)</f>
        <v/>
      </c>
      <c r="G213" s="44" t="n">
        <v>7</v>
      </c>
      <c r="H213" s="45" t="str">
        <f aca="false">IF(E213="","",E213+G213)</f>
        <v/>
      </c>
      <c r="I213" s="19"/>
      <c r="J213" s="19"/>
      <c r="K213" s="19"/>
      <c r="L213" s="26" t="s">
        <v>231</v>
      </c>
      <c r="M213" s="46" t="str">
        <f aca="false">IF(E213="","—",IF(F213&gt;=G213,"🔴 VENCIDO",IF(F213&gt;=(G213-2),"🟡 REVISAR","🟢 OK")))</f>
        <v>—</v>
      </c>
      <c r="N213" s="19"/>
    </row>
    <row r="214" customFormat="false" ht="19.5" hidden="false" customHeight="true" outlineLevel="0" collapsed="false">
      <c r="A214" s="18" t="s">
        <v>114</v>
      </c>
      <c r="B214" s="19"/>
      <c r="C214" s="43" t="s">
        <v>232</v>
      </c>
      <c r="D214" s="43" t="s">
        <v>233</v>
      </c>
      <c r="E214" s="19"/>
      <c r="F214" s="18" t="str">
        <f aca="true">IF(E214="","",TODAY()-E214)</f>
        <v/>
      </c>
      <c r="G214" s="44" t="n">
        <v>30</v>
      </c>
      <c r="H214" s="45" t="str">
        <f aca="false">IF(E214="","",E214+G214)</f>
        <v/>
      </c>
      <c r="I214" s="19"/>
      <c r="J214" s="19"/>
      <c r="K214" s="19"/>
      <c r="L214" s="26" t="s">
        <v>234</v>
      </c>
      <c r="M214" s="46" t="str">
        <f aca="false">IF(E214="","—",IF(F214&gt;=G214,"🔴 VENCIDO",IF(F214&gt;=(G214-2),"🟡 REVISAR","🟢 OK")))</f>
        <v>—</v>
      </c>
      <c r="N214" s="19"/>
    </row>
    <row r="215" customFormat="false" ht="19.5" hidden="false" customHeight="true" outlineLevel="0" collapsed="false">
      <c r="A215" s="18" t="s">
        <v>114</v>
      </c>
      <c r="B215" s="19"/>
      <c r="C215" s="43" t="s">
        <v>235</v>
      </c>
      <c r="D215" s="43" t="s">
        <v>236</v>
      </c>
      <c r="E215" s="19"/>
      <c r="F215" s="18" t="str">
        <f aca="true">IF(E215="","",TODAY()-E215)</f>
        <v/>
      </c>
      <c r="G215" s="44" t="n">
        <v>30</v>
      </c>
      <c r="H215" s="45" t="str">
        <f aca="false">IF(E215="","",E215+G215)</f>
        <v/>
      </c>
      <c r="I215" s="19"/>
      <c r="J215" s="19"/>
      <c r="K215" s="19"/>
      <c r="L215" s="26" t="s">
        <v>237</v>
      </c>
      <c r="M215" s="46" t="str">
        <f aca="false">IF(E215="","—",IF(F215&gt;=G215,"🔴 VENCIDO",IF(F215&gt;=(G215-2),"🟡 REVISAR","🟢 OK")))</f>
        <v>—</v>
      </c>
      <c r="N215" s="19"/>
    </row>
    <row r="216" customFormat="false" ht="19.5" hidden="false" customHeight="true" outlineLevel="0" collapsed="false">
      <c r="A216" s="18" t="s">
        <v>114</v>
      </c>
      <c r="B216" s="19"/>
      <c r="C216" s="43" t="s">
        <v>238</v>
      </c>
      <c r="D216" s="43" t="s">
        <v>236</v>
      </c>
      <c r="E216" s="19"/>
      <c r="F216" s="18" t="str">
        <f aca="true">IF(E216="","",TODAY()-E216)</f>
        <v/>
      </c>
      <c r="G216" s="44" t="n">
        <v>14</v>
      </c>
      <c r="H216" s="45" t="str">
        <f aca="false">IF(E216="","",E216+G216)</f>
        <v/>
      </c>
      <c r="I216" s="19"/>
      <c r="J216" s="19"/>
      <c r="K216" s="19"/>
      <c r="L216" s="26" t="s">
        <v>239</v>
      </c>
      <c r="M216" s="46" t="str">
        <f aca="false">IF(E216="","—",IF(F216&gt;=G216,"🔴 VENCIDO",IF(F216&gt;=(G216-2),"🟡 REVISAR","🟢 OK")))</f>
        <v>—</v>
      </c>
      <c r="N216" s="19"/>
    </row>
    <row r="217" customFormat="false" ht="19.5" hidden="false" customHeight="true" outlineLevel="0" collapsed="false">
      <c r="A217" s="18" t="s">
        <v>114</v>
      </c>
      <c r="B217" s="19"/>
      <c r="C217" s="43" t="s">
        <v>240</v>
      </c>
      <c r="D217" s="43" t="s">
        <v>241</v>
      </c>
      <c r="E217" s="19"/>
      <c r="F217" s="18" t="str">
        <f aca="true">IF(E217="","",TODAY()-E217)</f>
        <v/>
      </c>
      <c r="G217" s="44" t="n">
        <v>21</v>
      </c>
      <c r="H217" s="45" t="str">
        <f aca="false">IF(E217="","",E217+G217)</f>
        <v/>
      </c>
      <c r="I217" s="19"/>
      <c r="J217" s="19"/>
      <c r="K217" s="19"/>
      <c r="L217" s="26" t="s">
        <v>242</v>
      </c>
      <c r="M217" s="46" t="str">
        <f aca="false">IF(E217="","—",IF(F217&gt;=G217,"🔴 VENCIDO",IF(F217&gt;=(G217-2),"🟡 REVISAR","🟢 OK")))</f>
        <v>—</v>
      </c>
      <c r="N217" s="19"/>
    </row>
    <row r="218" customFormat="false" ht="19.5" hidden="false" customHeight="true" outlineLevel="0" collapsed="false">
      <c r="A218" s="18" t="s">
        <v>114</v>
      </c>
      <c r="B218" s="19"/>
      <c r="C218" s="43" t="s">
        <v>243</v>
      </c>
      <c r="D218" s="43" t="s">
        <v>244</v>
      </c>
      <c r="E218" s="19"/>
      <c r="F218" s="18" t="str">
        <f aca="true">IF(E218="","",TODAY()-E218)</f>
        <v/>
      </c>
      <c r="G218" s="44" t="n">
        <v>30</v>
      </c>
      <c r="H218" s="45" t="str">
        <f aca="false">IF(E218="","",E218+G218)</f>
        <v/>
      </c>
      <c r="I218" s="19"/>
      <c r="J218" s="19"/>
      <c r="K218" s="19"/>
      <c r="L218" s="26" t="s">
        <v>245</v>
      </c>
      <c r="M218" s="46" t="str">
        <f aca="false">IF(E218="","—",IF(F218&gt;=G218,"🔴 VENCIDO",IF(F218&gt;=(G218-2),"🟡 REVISAR","🟢 OK")))</f>
        <v>—</v>
      </c>
      <c r="N218" s="19"/>
    </row>
    <row r="219" customFormat="false" ht="19.5" hidden="false" customHeight="true" outlineLevel="0" collapsed="false">
      <c r="A219" s="18" t="s">
        <v>114</v>
      </c>
      <c r="B219" s="19"/>
      <c r="C219" s="43" t="s">
        <v>246</v>
      </c>
      <c r="D219" s="43" t="s">
        <v>247</v>
      </c>
      <c r="E219" s="19"/>
      <c r="F219" s="18" t="str">
        <f aca="true">IF(E219="","",TODAY()-E219)</f>
        <v/>
      </c>
      <c r="G219" s="44" t="n">
        <v>14</v>
      </c>
      <c r="H219" s="45" t="str">
        <f aca="false">IF(E219="","",E219+G219)</f>
        <v/>
      </c>
      <c r="I219" s="19"/>
      <c r="J219" s="19"/>
      <c r="K219" s="19"/>
      <c r="L219" s="26" t="s">
        <v>248</v>
      </c>
      <c r="M219" s="46" t="str">
        <f aca="false">IF(E219="","—",IF(F219&gt;=G219,"🔴 VENCIDO",IF(F219&gt;=(G219-2),"🟡 REVISAR","🟢 OK")))</f>
        <v>—</v>
      </c>
      <c r="N219" s="19"/>
    </row>
    <row r="220" customFormat="false" ht="19.5" hidden="false" customHeight="true" outlineLevel="0" collapsed="false">
      <c r="A220" s="18" t="s">
        <v>114</v>
      </c>
      <c r="B220" s="19"/>
      <c r="C220" s="43" t="s">
        <v>249</v>
      </c>
      <c r="D220" s="43" t="s">
        <v>250</v>
      </c>
      <c r="E220" s="19"/>
      <c r="F220" s="18" t="str">
        <f aca="true">IF(E220="","",TODAY()-E220)</f>
        <v/>
      </c>
      <c r="G220" s="44" t="n">
        <v>14</v>
      </c>
      <c r="H220" s="45" t="str">
        <f aca="false">IF(E220="","",E220+G220)</f>
        <v/>
      </c>
      <c r="I220" s="19"/>
      <c r="J220" s="19"/>
      <c r="K220" s="19"/>
      <c r="L220" s="26" t="s">
        <v>251</v>
      </c>
      <c r="M220" s="46" t="str">
        <f aca="false">IF(E220="","—",IF(F220&gt;=G220,"🔴 VENCIDO",IF(F220&gt;=(G220-2),"🟡 REVISAR","🟢 OK")))</f>
        <v>—</v>
      </c>
      <c r="N220" s="19"/>
    </row>
    <row r="221" customFormat="false" ht="19.5" hidden="false" customHeight="true" outlineLevel="0" collapsed="false">
      <c r="A221" s="18" t="s">
        <v>114</v>
      </c>
      <c r="B221" s="19"/>
      <c r="C221" s="43" t="s">
        <v>252</v>
      </c>
      <c r="D221" s="43" t="s">
        <v>253</v>
      </c>
      <c r="E221" s="19"/>
      <c r="F221" s="18" t="str">
        <f aca="true">IF(E221="","",TODAY()-E221)</f>
        <v/>
      </c>
      <c r="G221" s="44" t="n">
        <v>14</v>
      </c>
      <c r="H221" s="45" t="str">
        <f aca="false">IF(E221="","",E221+G221)</f>
        <v/>
      </c>
      <c r="I221" s="19"/>
      <c r="J221" s="19"/>
      <c r="K221" s="19"/>
      <c r="L221" s="26" t="s">
        <v>254</v>
      </c>
      <c r="M221" s="46" t="str">
        <f aca="false">IF(E221="","—",IF(F221&gt;=G221,"🔴 VENCIDO",IF(F221&gt;=(G221-2),"🟡 REVISAR","🟢 OK")))</f>
        <v>—</v>
      </c>
      <c r="N221" s="19"/>
    </row>
    <row r="222" customFormat="false" ht="19.5" hidden="false" customHeight="true" outlineLevel="0" collapsed="false">
      <c r="A222" s="18" t="s">
        <v>114</v>
      </c>
      <c r="B222" s="19"/>
      <c r="C222" s="43" t="s">
        <v>255</v>
      </c>
      <c r="D222" s="43" t="s">
        <v>256</v>
      </c>
      <c r="E222" s="19"/>
      <c r="F222" s="18" t="str">
        <f aca="true">IF(E222="","",TODAY()-E222)</f>
        <v/>
      </c>
      <c r="G222" s="44" t="n">
        <v>90</v>
      </c>
      <c r="H222" s="45" t="str">
        <f aca="false">IF(E222="","",E222+G222)</f>
        <v/>
      </c>
      <c r="I222" s="19"/>
      <c r="J222" s="19"/>
      <c r="K222" s="19"/>
      <c r="L222" s="26" t="s">
        <v>257</v>
      </c>
      <c r="M222" s="46" t="str">
        <f aca="false">IF(E222="","—",IF(F222&gt;=G222,"🔴 VENCIDO",IF(F222&gt;=(G222-2),"🟡 REVISAR","🟢 OK")))</f>
        <v>—</v>
      </c>
      <c r="N222" s="19"/>
    </row>
    <row r="223" customFormat="false" ht="19.5" hidden="false" customHeight="true" outlineLevel="0" collapsed="false">
      <c r="A223" s="18" t="s">
        <v>114</v>
      </c>
      <c r="B223" s="19"/>
      <c r="C223" s="43" t="s">
        <v>258</v>
      </c>
      <c r="D223" s="43" t="s">
        <v>259</v>
      </c>
      <c r="E223" s="19"/>
      <c r="F223" s="18" t="str">
        <f aca="true">IF(E223="","",TODAY()-E223)</f>
        <v/>
      </c>
      <c r="G223" s="44" t="n">
        <v>4</v>
      </c>
      <c r="H223" s="45" t="str">
        <f aca="false">IF(E223="","",E223+G223)</f>
        <v/>
      </c>
      <c r="I223" s="19"/>
      <c r="J223" s="19"/>
      <c r="K223" s="19"/>
      <c r="L223" s="26" t="s">
        <v>260</v>
      </c>
      <c r="M223" s="46" t="str">
        <f aca="false">IF(E223="","—",IF(F223&gt;=G223,"🔴 VENCIDO",IF(F223&gt;=(G223-2),"🟡 REVISAR","🟢 OK")))</f>
        <v>—</v>
      </c>
      <c r="N223" s="19"/>
    </row>
    <row r="224" customFormat="false" ht="19.5" hidden="false" customHeight="true" outlineLevel="0" collapsed="false">
      <c r="A224" s="18" t="s">
        <v>114</v>
      </c>
      <c r="B224" s="19"/>
      <c r="C224" s="43" t="s">
        <v>261</v>
      </c>
      <c r="D224" s="43" t="s">
        <v>262</v>
      </c>
      <c r="E224" s="19"/>
      <c r="F224" s="18" t="str">
        <f aca="true">IF(E224="","",TODAY()-E224)</f>
        <v/>
      </c>
      <c r="G224" s="44" t="n">
        <v>2</v>
      </c>
      <c r="H224" s="45" t="str">
        <f aca="false">IF(E224="","",E224+G224)</f>
        <v/>
      </c>
      <c r="I224" s="19"/>
      <c r="J224" s="19"/>
      <c r="K224" s="19"/>
      <c r="L224" s="26" t="s">
        <v>263</v>
      </c>
      <c r="M224" s="46" t="str">
        <f aca="false">IF(E224="","—",IF(F224&gt;=G224,"🔴 VENCIDO",IF(F224&gt;=(G224-2),"🟡 REVISAR","🟢 OK")))</f>
        <v>—</v>
      </c>
      <c r="N224" s="19"/>
    </row>
    <row r="225" customFormat="false" ht="19.5" hidden="false" customHeight="true" outlineLevel="0" collapsed="false">
      <c r="A225" s="18" t="s">
        <v>114</v>
      </c>
      <c r="B225" s="19"/>
      <c r="C225" s="43" t="s">
        <v>264</v>
      </c>
      <c r="D225" s="43" t="s">
        <v>265</v>
      </c>
      <c r="E225" s="19"/>
      <c r="F225" s="18" t="str">
        <f aca="true">IF(E225="","",TODAY()-E225)</f>
        <v/>
      </c>
      <c r="G225" s="44" t="n">
        <v>7</v>
      </c>
      <c r="H225" s="45" t="str">
        <f aca="false">IF(E225="","",E225+G225)</f>
        <v/>
      </c>
      <c r="I225" s="19"/>
      <c r="J225" s="19"/>
      <c r="K225" s="19"/>
      <c r="L225" s="26" t="s">
        <v>266</v>
      </c>
      <c r="M225" s="46" t="str">
        <f aca="false">IF(E225="","—",IF(F225&gt;=G225,"🔴 VENCIDO",IF(F225&gt;=(G225-2),"🟡 REVISAR","🟢 OK")))</f>
        <v>—</v>
      </c>
      <c r="N225" s="19"/>
    </row>
    <row r="226" customFormat="false" ht="19.5" hidden="false" customHeight="true" outlineLevel="0" collapsed="false">
      <c r="A226" s="18" t="s">
        <v>114</v>
      </c>
      <c r="B226" s="19"/>
      <c r="C226" s="43" t="s">
        <v>267</v>
      </c>
      <c r="D226" s="43" t="s">
        <v>268</v>
      </c>
      <c r="E226" s="19"/>
      <c r="F226" s="18" t="str">
        <f aca="true">IF(E226="","",TODAY()-E226)</f>
        <v/>
      </c>
      <c r="G226" s="44" t="n">
        <v>14</v>
      </c>
      <c r="H226" s="45" t="str">
        <f aca="false">IF(E226="","",E226+G226)</f>
        <v/>
      </c>
      <c r="I226" s="19"/>
      <c r="J226" s="19"/>
      <c r="K226" s="19"/>
      <c r="L226" s="26" t="s">
        <v>269</v>
      </c>
      <c r="M226" s="46" t="str">
        <f aca="false">IF(E226="","—",IF(F226&gt;=G226,"🔴 VENCIDO",IF(F226&gt;=(G226-2),"🟡 REVISAR","🟢 OK")))</f>
        <v>—</v>
      </c>
      <c r="N226" s="19"/>
    </row>
    <row r="227" customFormat="false" ht="19.5" hidden="false" customHeight="true" outlineLevel="0" collapsed="false">
      <c r="A227" s="18" t="s">
        <v>114</v>
      </c>
      <c r="B227" s="19"/>
      <c r="C227" s="43" t="s">
        <v>270</v>
      </c>
      <c r="D227" s="43" t="s">
        <v>271</v>
      </c>
      <c r="E227" s="19"/>
      <c r="F227" s="18" t="str">
        <f aca="true">IF(E227="","",TODAY()-E227)</f>
        <v/>
      </c>
      <c r="G227" s="44" t="n">
        <v>7</v>
      </c>
      <c r="H227" s="45" t="str">
        <f aca="false">IF(E227="","",E227+G227)</f>
        <v/>
      </c>
      <c r="I227" s="19"/>
      <c r="J227" s="19"/>
      <c r="K227" s="19"/>
      <c r="L227" s="26" t="s">
        <v>239</v>
      </c>
      <c r="M227" s="46" t="str">
        <f aca="false">IF(E227="","—",IF(F227&gt;=G227,"🔴 VENCIDO",IF(F227&gt;=(G227-2),"🟡 REVISAR","🟢 OK")))</f>
        <v>—</v>
      </c>
      <c r="N227" s="19"/>
    </row>
    <row r="228" customFormat="false" ht="19.5" hidden="false" customHeight="true" outlineLevel="0" collapsed="false">
      <c r="A228" s="18" t="s">
        <v>114</v>
      </c>
      <c r="B228" s="19"/>
      <c r="C228" s="43" t="s">
        <v>272</v>
      </c>
      <c r="D228" s="43" t="s">
        <v>273</v>
      </c>
      <c r="E228" s="19"/>
      <c r="F228" s="18" t="str">
        <f aca="true">IF(E228="","",TODAY()-E228)</f>
        <v/>
      </c>
      <c r="G228" s="44" t="n">
        <v>90</v>
      </c>
      <c r="H228" s="45" t="str">
        <f aca="false">IF(E228="","",E228+G228)</f>
        <v/>
      </c>
      <c r="I228" s="19"/>
      <c r="J228" s="19"/>
      <c r="K228" s="19"/>
      <c r="L228" s="26" t="s">
        <v>274</v>
      </c>
      <c r="M228" s="46" t="str">
        <f aca="false">IF(E228="","—",IF(F228&gt;=G228,"🔴 VENCIDO",IF(F228&gt;=(G228-2),"🟡 REVISAR","🟢 OK")))</f>
        <v>—</v>
      </c>
      <c r="N228" s="19"/>
    </row>
    <row r="229" customFormat="false" ht="19.5" hidden="false" customHeight="true" outlineLevel="0" collapsed="false">
      <c r="A229" s="18" t="s">
        <v>114</v>
      </c>
      <c r="B229" s="19"/>
      <c r="C229" s="43" t="s">
        <v>275</v>
      </c>
      <c r="D229" s="43" t="s">
        <v>276</v>
      </c>
      <c r="E229" s="19"/>
      <c r="F229" s="18" t="str">
        <f aca="true">IF(E229="","",TODAY()-E229)</f>
        <v/>
      </c>
      <c r="G229" s="44" t="n">
        <v>21</v>
      </c>
      <c r="H229" s="45" t="str">
        <f aca="false">IF(E229="","",E229+G229)</f>
        <v/>
      </c>
      <c r="I229" s="19"/>
      <c r="J229" s="19"/>
      <c r="K229" s="19"/>
      <c r="L229" s="26" t="s">
        <v>277</v>
      </c>
      <c r="M229" s="46" t="str">
        <f aca="false">IF(E229="","—",IF(F229&gt;=G229,"🔴 VENCIDO",IF(F229&gt;=(G229-2),"🟡 REVISAR","🟢 OK")))</f>
        <v>—</v>
      </c>
      <c r="N229" s="19"/>
    </row>
    <row r="230" customFormat="false" ht="6" hidden="false" customHeight="true" outlineLevel="0" collapsed="false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 customFormat="false" ht="19.5" hidden="false" customHeight="true" outlineLevel="0" collapsed="false">
      <c r="A231" s="18" t="s">
        <v>115</v>
      </c>
      <c r="B231" s="19"/>
      <c r="C231" s="43" t="s">
        <v>226</v>
      </c>
      <c r="D231" s="43" t="s">
        <v>227</v>
      </c>
      <c r="E231" s="19"/>
      <c r="F231" s="18" t="str">
        <f aca="true">IF(E231="","",TODAY()-E231)</f>
        <v/>
      </c>
      <c r="G231" s="44" t="n">
        <v>14</v>
      </c>
      <c r="H231" s="45" t="str">
        <f aca="false">IF(E231="","",E231+G231)</f>
        <v/>
      </c>
      <c r="I231" s="19"/>
      <c r="J231" s="19"/>
      <c r="K231" s="19"/>
      <c r="L231" s="26" t="s">
        <v>228</v>
      </c>
      <c r="M231" s="46" t="str">
        <f aca="false">IF(E231="","—",IF(F231&gt;=G231,"🔴 VENCIDO",IF(F231&gt;=(G231-2),"🟡 REVISAR","🟢 OK")))</f>
        <v>—</v>
      </c>
      <c r="N231" s="19"/>
    </row>
    <row r="232" customFormat="false" ht="19.5" hidden="false" customHeight="true" outlineLevel="0" collapsed="false">
      <c r="A232" s="18" t="s">
        <v>115</v>
      </c>
      <c r="B232" s="19"/>
      <c r="C232" s="43" t="s">
        <v>229</v>
      </c>
      <c r="D232" s="43" t="s">
        <v>230</v>
      </c>
      <c r="E232" s="19"/>
      <c r="F232" s="18" t="str">
        <f aca="true">IF(E232="","",TODAY()-E232)</f>
        <v/>
      </c>
      <c r="G232" s="44" t="n">
        <v>7</v>
      </c>
      <c r="H232" s="45" t="str">
        <f aca="false">IF(E232="","",E232+G232)</f>
        <v/>
      </c>
      <c r="I232" s="19"/>
      <c r="J232" s="19"/>
      <c r="K232" s="19"/>
      <c r="L232" s="26" t="s">
        <v>231</v>
      </c>
      <c r="M232" s="46" t="str">
        <f aca="false">IF(E232="","—",IF(F232&gt;=G232,"🔴 VENCIDO",IF(F232&gt;=(G232-2),"🟡 REVISAR","🟢 OK")))</f>
        <v>—</v>
      </c>
      <c r="N232" s="19"/>
    </row>
    <row r="233" customFormat="false" ht="19.5" hidden="false" customHeight="true" outlineLevel="0" collapsed="false">
      <c r="A233" s="18" t="s">
        <v>115</v>
      </c>
      <c r="B233" s="19"/>
      <c r="C233" s="43" t="s">
        <v>232</v>
      </c>
      <c r="D233" s="43" t="s">
        <v>233</v>
      </c>
      <c r="E233" s="19"/>
      <c r="F233" s="18" t="str">
        <f aca="true">IF(E233="","",TODAY()-E233)</f>
        <v/>
      </c>
      <c r="G233" s="44" t="n">
        <v>30</v>
      </c>
      <c r="H233" s="45" t="str">
        <f aca="false">IF(E233="","",E233+G233)</f>
        <v/>
      </c>
      <c r="I233" s="19"/>
      <c r="J233" s="19"/>
      <c r="K233" s="19"/>
      <c r="L233" s="26" t="s">
        <v>234</v>
      </c>
      <c r="M233" s="46" t="str">
        <f aca="false">IF(E233="","—",IF(F233&gt;=G233,"🔴 VENCIDO",IF(F233&gt;=(G233-2),"🟡 REVISAR","🟢 OK")))</f>
        <v>—</v>
      </c>
      <c r="N233" s="19"/>
    </row>
    <row r="234" customFormat="false" ht="19.5" hidden="false" customHeight="true" outlineLevel="0" collapsed="false">
      <c r="A234" s="18" t="s">
        <v>115</v>
      </c>
      <c r="B234" s="19"/>
      <c r="C234" s="43" t="s">
        <v>235</v>
      </c>
      <c r="D234" s="43" t="s">
        <v>236</v>
      </c>
      <c r="E234" s="19"/>
      <c r="F234" s="18" t="str">
        <f aca="true">IF(E234="","",TODAY()-E234)</f>
        <v/>
      </c>
      <c r="G234" s="44" t="n">
        <v>30</v>
      </c>
      <c r="H234" s="45" t="str">
        <f aca="false">IF(E234="","",E234+G234)</f>
        <v/>
      </c>
      <c r="I234" s="19"/>
      <c r="J234" s="19"/>
      <c r="K234" s="19"/>
      <c r="L234" s="26" t="s">
        <v>237</v>
      </c>
      <c r="M234" s="46" t="str">
        <f aca="false">IF(E234="","—",IF(F234&gt;=G234,"🔴 VENCIDO",IF(F234&gt;=(G234-2),"🟡 REVISAR","🟢 OK")))</f>
        <v>—</v>
      </c>
      <c r="N234" s="19"/>
    </row>
    <row r="235" customFormat="false" ht="19.5" hidden="false" customHeight="true" outlineLevel="0" collapsed="false">
      <c r="A235" s="18" t="s">
        <v>115</v>
      </c>
      <c r="B235" s="19"/>
      <c r="C235" s="43" t="s">
        <v>238</v>
      </c>
      <c r="D235" s="43" t="s">
        <v>236</v>
      </c>
      <c r="E235" s="19"/>
      <c r="F235" s="18" t="str">
        <f aca="true">IF(E235="","",TODAY()-E235)</f>
        <v/>
      </c>
      <c r="G235" s="44" t="n">
        <v>14</v>
      </c>
      <c r="H235" s="45" t="str">
        <f aca="false">IF(E235="","",E235+G235)</f>
        <v/>
      </c>
      <c r="I235" s="19"/>
      <c r="J235" s="19"/>
      <c r="K235" s="19"/>
      <c r="L235" s="26" t="s">
        <v>239</v>
      </c>
      <c r="M235" s="46" t="str">
        <f aca="false">IF(E235="","—",IF(F235&gt;=G235,"🔴 VENCIDO",IF(F235&gt;=(G235-2),"🟡 REVISAR","🟢 OK")))</f>
        <v>—</v>
      </c>
      <c r="N235" s="19"/>
    </row>
    <row r="236" customFormat="false" ht="19.5" hidden="false" customHeight="true" outlineLevel="0" collapsed="false">
      <c r="A236" s="18" t="s">
        <v>115</v>
      </c>
      <c r="B236" s="19"/>
      <c r="C236" s="43" t="s">
        <v>240</v>
      </c>
      <c r="D236" s="43" t="s">
        <v>241</v>
      </c>
      <c r="E236" s="19"/>
      <c r="F236" s="18" t="str">
        <f aca="true">IF(E236="","",TODAY()-E236)</f>
        <v/>
      </c>
      <c r="G236" s="44" t="n">
        <v>21</v>
      </c>
      <c r="H236" s="45" t="str">
        <f aca="false">IF(E236="","",E236+G236)</f>
        <v/>
      </c>
      <c r="I236" s="19"/>
      <c r="J236" s="19"/>
      <c r="K236" s="19"/>
      <c r="L236" s="26" t="s">
        <v>242</v>
      </c>
      <c r="M236" s="46" t="str">
        <f aca="false">IF(E236="","—",IF(F236&gt;=G236,"🔴 VENCIDO",IF(F236&gt;=(G236-2),"🟡 REVISAR","🟢 OK")))</f>
        <v>—</v>
      </c>
      <c r="N236" s="19"/>
    </row>
    <row r="237" customFormat="false" ht="19.5" hidden="false" customHeight="true" outlineLevel="0" collapsed="false">
      <c r="A237" s="18" t="s">
        <v>115</v>
      </c>
      <c r="B237" s="19"/>
      <c r="C237" s="43" t="s">
        <v>243</v>
      </c>
      <c r="D237" s="43" t="s">
        <v>244</v>
      </c>
      <c r="E237" s="19"/>
      <c r="F237" s="18" t="str">
        <f aca="true">IF(E237="","",TODAY()-E237)</f>
        <v/>
      </c>
      <c r="G237" s="44" t="n">
        <v>30</v>
      </c>
      <c r="H237" s="45" t="str">
        <f aca="false">IF(E237="","",E237+G237)</f>
        <v/>
      </c>
      <c r="I237" s="19"/>
      <c r="J237" s="19"/>
      <c r="K237" s="19"/>
      <c r="L237" s="26" t="s">
        <v>245</v>
      </c>
      <c r="M237" s="46" t="str">
        <f aca="false">IF(E237="","—",IF(F237&gt;=G237,"🔴 VENCIDO",IF(F237&gt;=(G237-2),"🟡 REVISAR","🟢 OK")))</f>
        <v>—</v>
      </c>
      <c r="N237" s="19"/>
    </row>
    <row r="238" customFormat="false" ht="19.5" hidden="false" customHeight="true" outlineLevel="0" collapsed="false">
      <c r="A238" s="18" t="s">
        <v>115</v>
      </c>
      <c r="B238" s="19"/>
      <c r="C238" s="43" t="s">
        <v>246</v>
      </c>
      <c r="D238" s="43" t="s">
        <v>247</v>
      </c>
      <c r="E238" s="19"/>
      <c r="F238" s="18" t="str">
        <f aca="true">IF(E238="","",TODAY()-E238)</f>
        <v/>
      </c>
      <c r="G238" s="44" t="n">
        <v>14</v>
      </c>
      <c r="H238" s="45" t="str">
        <f aca="false">IF(E238="","",E238+G238)</f>
        <v/>
      </c>
      <c r="I238" s="19"/>
      <c r="J238" s="19"/>
      <c r="K238" s="19"/>
      <c r="L238" s="26" t="s">
        <v>248</v>
      </c>
      <c r="M238" s="46" t="str">
        <f aca="false">IF(E238="","—",IF(F238&gt;=G238,"🔴 VENCIDO",IF(F238&gt;=(G238-2),"🟡 REVISAR","🟢 OK")))</f>
        <v>—</v>
      </c>
      <c r="N238" s="19"/>
    </row>
    <row r="239" customFormat="false" ht="19.5" hidden="false" customHeight="true" outlineLevel="0" collapsed="false">
      <c r="A239" s="18" t="s">
        <v>115</v>
      </c>
      <c r="B239" s="19"/>
      <c r="C239" s="43" t="s">
        <v>249</v>
      </c>
      <c r="D239" s="43" t="s">
        <v>250</v>
      </c>
      <c r="E239" s="19"/>
      <c r="F239" s="18" t="str">
        <f aca="true">IF(E239="","",TODAY()-E239)</f>
        <v/>
      </c>
      <c r="G239" s="44" t="n">
        <v>14</v>
      </c>
      <c r="H239" s="45" t="str">
        <f aca="false">IF(E239="","",E239+G239)</f>
        <v/>
      </c>
      <c r="I239" s="19"/>
      <c r="J239" s="19"/>
      <c r="K239" s="19"/>
      <c r="L239" s="26" t="s">
        <v>251</v>
      </c>
      <c r="M239" s="46" t="str">
        <f aca="false">IF(E239="","—",IF(F239&gt;=G239,"🔴 VENCIDO",IF(F239&gt;=(G239-2),"🟡 REVISAR","🟢 OK")))</f>
        <v>—</v>
      </c>
      <c r="N239" s="19"/>
    </row>
    <row r="240" customFormat="false" ht="19.5" hidden="false" customHeight="true" outlineLevel="0" collapsed="false">
      <c r="A240" s="18" t="s">
        <v>115</v>
      </c>
      <c r="B240" s="19"/>
      <c r="C240" s="43" t="s">
        <v>252</v>
      </c>
      <c r="D240" s="43" t="s">
        <v>253</v>
      </c>
      <c r="E240" s="19"/>
      <c r="F240" s="18" t="str">
        <f aca="true">IF(E240="","",TODAY()-E240)</f>
        <v/>
      </c>
      <c r="G240" s="44" t="n">
        <v>14</v>
      </c>
      <c r="H240" s="45" t="str">
        <f aca="false">IF(E240="","",E240+G240)</f>
        <v/>
      </c>
      <c r="I240" s="19"/>
      <c r="J240" s="19"/>
      <c r="K240" s="19"/>
      <c r="L240" s="26" t="s">
        <v>254</v>
      </c>
      <c r="M240" s="46" t="str">
        <f aca="false">IF(E240="","—",IF(F240&gt;=G240,"🔴 VENCIDO",IF(F240&gt;=(G240-2),"🟡 REVISAR","🟢 OK")))</f>
        <v>—</v>
      </c>
      <c r="N240" s="19"/>
    </row>
    <row r="241" customFormat="false" ht="19.5" hidden="false" customHeight="true" outlineLevel="0" collapsed="false">
      <c r="A241" s="18" t="s">
        <v>115</v>
      </c>
      <c r="B241" s="19"/>
      <c r="C241" s="43" t="s">
        <v>255</v>
      </c>
      <c r="D241" s="43" t="s">
        <v>256</v>
      </c>
      <c r="E241" s="19"/>
      <c r="F241" s="18" t="str">
        <f aca="true">IF(E241="","",TODAY()-E241)</f>
        <v/>
      </c>
      <c r="G241" s="44" t="n">
        <v>90</v>
      </c>
      <c r="H241" s="45" t="str">
        <f aca="false">IF(E241="","",E241+G241)</f>
        <v/>
      </c>
      <c r="I241" s="19"/>
      <c r="J241" s="19"/>
      <c r="K241" s="19"/>
      <c r="L241" s="26" t="s">
        <v>257</v>
      </c>
      <c r="M241" s="46" t="str">
        <f aca="false">IF(E241="","—",IF(F241&gt;=G241,"🔴 VENCIDO",IF(F241&gt;=(G241-2),"🟡 REVISAR","🟢 OK")))</f>
        <v>—</v>
      </c>
      <c r="N241" s="19"/>
    </row>
    <row r="242" customFormat="false" ht="19.5" hidden="false" customHeight="true" outlineLevel="0" collapsed="false">
      <c r="A242" s="18" t="s">
        <v>115</v>
      </c>
      <c r="B242" s="19"/>
      <c r="C242" s="43" t="s">
        <v>258</v>
      </c>
      <c r="D242" s="43" t="s">
        <v>259</v>
      </c>
      <c r="E242" s="19"/>
      <c r="F242" s="18" t="str">
        <f aca="true">IF(E242="","",TODAY()-E242)</f>
        <v/>
      </c>
      <c r="G242" s="44" t="n">
        <v>4</v>
      </c>
      <c r="H242" s="45" t="str">
        <f aca="false">IF(E242="","",E242+G242)</f>
        <v/>
      </c>
      <c r="I242" s="19"/>
      <c r="J242" s="19"/>
      <c r="K242" s="19"/>
      <c r="L242" s="26" t="s">
        <v>260</v>
      </c>
      <c r="M242" s="46" t="str">
        <f aca="false">IF(E242="","—",IF(F242&gt;=G242,"🔴 VENCIDO",IF(F242&gt;=(G242-2),"🟡 REVISAR","🟢 OK")))</f>
        <v>—</v>
      </c>
      <c r="N242" s="19"/>
    </row>
    <row r="243" customFormat="false" ht="19.5" hidden="false" customHeight="true" outlineLevel="0" collapsed="false">
      <c r="A243" s="18" t="s">
        <v>115</v>
      </c>
      <c r="B243" s="19"/>
      <c r="C243" s="43" t="s">
        <v>261</v>
      </c>
      <c r="D243" s="43" t="s">
        <v>262</v>
      </c>
      <c r="E243" s="19"/>
      <c r="F243" s="18" t="str">
        <f aca="true">IF(E243="","",TODAY()-E243)</f>
        <v/>
      </c>
      <c r="G243" s="44" t="n">
        <v>2</v>
      </c>
      <c r="H243" s="45" t="str">
        <f aca="false">IF(E243="","",E243+G243)</f>
        <v/>
      </c>
      <c r="I243" s="19"/>
      <c r="J243" s="19"/>
      <c r="K243" s="19"/>
      <c r="L243" s="26" t="s">
        <v>263</v>
      </c>
      <c r="M243" s="46" t="str">
        <f aca="false">IF(E243="","—",IF(F243&gt;=G243,"🔴 VENCIDO",IF(F243&gt;=(G243-2),"🟡 REVISAR","🟢 OK")))</f>
        <v>—</v>
      </c>
      <c r="N243" s="19"/>
    </row>
    <row r="244" customFormat="false" ht="19.5" hidden="false" customHeight="true" outlineLevel="0" collapsed="false">
      <c r="A244" s="18" t="s">
        <v>115</v>
      </c>
      <c r="B244" s="19"/>
      <c r="C244" s="43" t="s">
        <v>264</v>
      </c>
      <c r="D244" s="43" t="s">
        <v>265</v>
      </c>
      <c r="E244" s="19"/>
      <c r="F244" s="18" t="str">
        <f aca="true">IF(E244="","",TODAY()-E244)</f>
        <v/>
      </c>
      <c r="G244" s="44" t="n">
        <v>7</v>
      </c>
      <c r="H244" s="45" t="str">
        <f aca="false">IF(E244="","",E244+G244)</f>
        <v/>
      </c>
      <c r="I244" s="19"/>
      <c r="J244" s="19"/>
      <c r="K244" s="19"/>
      <c r="L244" s="26" t="s">
        <v>266</v>
      </c>
      <c r="M244" s="46" t="str">
        <f aca="false">IF(E244="","—",IF(F244&gt;=G244,"🔴 VENCIDO",IF(F244&gt;=(G244-2),"🟡 REVISAR","🟢 OK")))</f>
        <v>—</v>
      </c>
      <c r="N244" s="19"/>
    </row>
    <row r="245" customFormat="false" ht="19.5" hidden="false" customHeight="true" outlineLevel="0" collapsed="false">
      <c r="A245" s="18" t="s">
        <v>115</v>
      </c>
      <c r="B245" s="19"/>
      <c r="C245" s="43" t="s">
        <v>267</v>
      </c>
      <c r="D245" s="43" t="s">
        <v>268</v>
      </c>
      <c r="E245" s="19"/>
      <c r="F245" s="18" t="str">
        <f aca="true">IF(E245="","",TODAY()-E245)</f>
        <v/>
      </c>
      <c r="G245" s="44" t="n">
        <v>14</v>
      </c>
      <c r="H245" s="45" t="str">
        <f aca="false">IF(E245="","",E245+G245)</f>
        <v/>
      </c>
      <c r="I245" s="19"/>
      <c r="J245" s="19"/>
      <c r="K245" s="19"/>
      <c r="L245" s="26" t="s">
        <v>269</v>
      </c>
      <c r="M245" s="46" t="str">
        <f aca="false">IF(E245="","—",IF(F245&gt;=G245,"🔴 VENCIDO",IF(F245&gt;=(G245-2),"🟡 REVISAR","🟢 OK")))</f>
        <v>—</v>
      </c>
      <c r="N245" s="19"/>
    </row>
    <row r="246" customFormat="false" ht="19.5" hidden="false" customHeight="true" outlineLevel="0" collapsed="false">
      <c r="A246" s="18" t="s">
        <v>115</v>
      </c>
      <c r="B246" s="19"/>
      <c r="C246" s="43" t="s">
        <v>270</v>
      </c>
      <c r="D246" s="43" t="s">
        <v>271</v>
      </c>
      <c r="E246" s="19"/>
      <c r="F246" s="18" t="str">
        <f aca="true">IF(E246="","",TODAY()-E246)</f>
        <v/>
      </c>
      <c r="G246" s="44" t="n">
        <v>7</v>
      </c>
      <c r="H246" s="45" t="str">
        <f aca="false">IF(E246="","",E246+G246)</f>
        <v/>
      </c>
      <c r="I246" s="19"/>
      <c r="J246" s="19"/>
      <c r="K246" s="19"/>
      <c r="L246" s="26" t="s">
        <v>239</v>
      </c>
      <c r="M246" s="46" t="str">
        <f aca="false">IF(E246="","—",IF(F246&gt;=G246,"🔴 VENCIDO",IF(F246&gt;=(G246-2),"🟡 REVISAR","🟢 OK")))</f>
        <v>—</v>
      </c>
      <c r="N246" s="19"/>
    </row>
    <row r="247" customFormat="false" ht="19.5" hidden="false" customHeight="true" outlineLevel="0" collapsed="false">
      <c r="A247" s="18" t="s">
        <v>115</v>
      </c>
      <c r="B247" s="19"/>
      <c r="C247" s="43" t="s">
        <v>272</v>
      </c>
      <c r="D247" s="43" t="s">
        <v>273</v>
      </c>
      <c r="E247" s="19"/>
      <c r="F247" s="18" t="str">
        <f aca="true">IF(E247="","",TODAY()-E247)</f>
        <v/>
      </c>
      <c r="G247" s="44" t="n">
        <v>90</v>
      </c>
      <c r="H247" s="45" t="str">
        <f aca="false">IF(E247="","",E247+G247)</f>
        <v/>
      </c>
      <c r="I247" s="19"/>
      <c r="J247" s="19"/>
      <c r="K247" s="19"/>
      <c r="L247" s="26" t="s">
        <v>274</v>
      </c>
      <c r="M247" s="46" t="str">
        <f aca="false">IF(E247="","—",IF(F247&gt;=G247,"🔴 VENCIDO",IF(F247&gt;=(G247-2),"🟡 REVISAR","🟢 OK")))</f>
        <v>—</v>
      </c>
      <c r="N247" s="19"/>
    </row>
    <row r="248" customFormat="false" ht="19.5" hidden="false" customHeight="true" outlineLevel="0" collapsed="false">
      <c r="A248" s="18" t="s">
        <v>115</v>
      </c>
      <c r="B248" s="19"/>
      <c r="C248" s="43" t="s">
        <v>275</v>
      </c>
      <c r="D248" s="43" t="s">
        <v>276</v>
      </c>
      <c r="E248" s="19"/>
      <c r="F248" s="18" t="str">
        <f aca="true">IF(E248="","",TODAY()-E248)</f>
        <v/>
      </c>
      <c r="G248" s="44" t="n">
        <v>21</v>
      </c>
      <c r="H248" s="45" t="str">
        <f aca="false">IF(E248="","",E248+G248)</f>
        <v/>
      </c>
      <c r="I248" s="19"/>
      <c r="J248" s="19"/>
      <c r="K248" s="19"/>
      <c r="L248" s="26" t="s">
        <v>277</v>
      </c>
      <c r="M248" s="46" t="str">
        <f aca="false">IF(E248="","—",IF(F248&gt;=G248,"🔴 VENCIDO",IF(F248&gt;=(G248-2),"🟡 REVISAR","🟢 OK")))</f>
        <v>—</v>
      </c>
      <c r="N248" s="19"/>
    </row>
    <row r="249" customFormat="false" ht="6" hidden="false" customHeight="true" outlineLevel="0" collapsed="false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 customFormat="false" ht="19.5" hidden="false" customHeight="true" outlineLevel="0" collapsed="false">
      <c r="A250" s="18" t="s">
        <v>116</v>
      </c>
      <c r="B250" s="19"/>
      <c r="C250" s="43" t="s">
        <v>226</v>
      </c>
      <c r="D250" s="43" t="s">
        <v>227</v>
      </c>
      <c r="E250" s="19"/>
      <c r="F250" s="18" t="str">
        <f aca="true">IF(E250="","",TODAY()-E250)</f>
        <v/>
      </c>
      <c r="G250" s="44" t="n">
        <v>14</v>
      </c>
      <c r="H250" s="45" t="str">
        <f aca="false">IF(E250="","",E250+G250)</f>
        <v/>
      </c>
      <c r="I250" s="19"/>
      <c r="J250" s="19"/>
      <c r="K250" s="19"/>
      <c r="L250" s="26" t="s">
        <v>228</v>
      </c>
      <c r="M250" s="46" t="str">
        <f aca="false">IF(E250="","—",IF(F250&gt;=G250,"🔴 VENCIDO",IF(F250&gt;=(G250-2),"🟡 REVISAR","🟢 OK")))</f>
        <v>—</v>
      </c>
      <c r="N250" s="19"/>
    </row>
    <row r="251" customFormat="false" ht="19.5" hidden="false" customHeight="true" outlineLevel="0" collapsed="false">
      <c r="A251" s="18" t="s">
        <v>116</v>
      </c>
      <c r="B251" s="19"/>
      <c r="C251" s="43" t="s">
        <v>229</v>
      </c>
      <c r="D251" s="43" t="s">
        <v>230</v>
      </c>
      <c r="E251" s="19"/>
      <c r="F251" s="18" t="str">
        <f aca="true">IF(E251="","",TODAY()-E251)</f>
        <v/>
      </c>
      <c r="G251" s="44" t="n">
        <v>7</v>
      </c>
      <c r="H251" s="45" t="str">
        <f aca="false">IF(E251="","",E251+G251)</f>
        <v/>
      </c>
      <c r="I251" s="19"/>
      <c r="J251" s="19"/>
      <c r="K251" s="19"/>
      <c r="L251" s="26" t="s">
        <v>231</v>
      </c>
      <c r="M251" s="46" t="str">
        <f aca="false">IF(E251="","—",IF(F251&gt;=G251,"🔴 VENCIDO",IF(F251&gt;=(G251-2),"🟡 REVISAR","🟢 OK")))</f>
        <v>—</v>
      </c>
      <c r="N251" s="19"/>
    </row>
    <row r="252" customFormat="false" ht="19.5" hidden="false" customHeight="true" outlineLevel="0" collapsed="false">
      <c r="A252" s="18" t="s">
        <v>116</v>
      </c>
      <c r="B252" s="19"/>
      <c r="C252" s="43" t="s">
        <v>232</v>
      </c>
      <c r="D252" s="43" t="s">
        <v>233</v>
      </c>
      <c r="E252" s="19"/>
      <c r="F252" s="18" t="str">
        <f aca="true">IF(E252="","",TODAY()-E252)</f>
        <v/>
      </c>
      <c r="G252" s="44" t="n">
        <v>30</v>
      </c>
      <c r="H252" s="45" t="str">
        <f aca="false">IF(E252="","",E252+G252)</f>
        <v/>
      </c>
      <c r="I252" s="19"/>
      <c r="J252" s="19"/>
      <c r="K252" s="19"/>
      <c r="L252" s="26" t="s">
        <v>234</v>
      </c>
      <c r="M252" s="46" t="str">
        <f aca="false">IF(E252="","—",IF(F252&gt;=G252,"🔴 VENCIDO",IF(F252&gt;=(G252-2),"🟡 REVISAR","🟢 OK")))</f>
        <v>—</v>
      </c>
      <c r="N252" s="19"/>
    </row>
    <row r="253" customFormat="false" ht="19.5" hidden="false" customHeight="true" outlineLevel="0" collapsed="false">
      <c r="A253" s="18" t="s">
        <v>116</v>
      </c>
      <c r="B253" s="19"/>
      <c r="C253" s="43" t="s">
        <v>235</v>
      </c>
      <c r="D253" s="43" t="s">
        <v>236</v>
      </c>
      <c r="E253" s="19"/>
      <c r="F253" s="18" t="str">
        <f aca="true">IF(E253="","",TODAY()-E253)</f>
        <v/>
      </c>
      <c r="G253" s="44" t="n">
        <v>30</v>
      </c>
      <c r="H253" s="45" t="str">
        <f aca="false">IF(E253="","",E253+G253)</f>
        <v/>
      </c>
      <c r="I253" s="19"/>
      <c r="J253" s="19"/>
      <c r="K253" s="19"/>
      <c r="L253" s="26" t="s">
        <v>237</v>
      </c>
      <c r="M253" s="46" t="str">
        <f aca="false">IF(E253="","—",IF(F253&gt;=G253,"🔴 VENCIDO",IF(F253&gt;=(G253-2),"🟡 REVISAR","🟢 OK")))</f>
        <v>—</v>
      </c>
      <c r="N253" s="19"/>
    </row>
    <row r="254" customFormat="false" ht="19.5" hidden="false" customHeight="true" outlineLevel="0" collapsed="false">
      <c r="A254" s="18" t="s">
        <v>116</v>
      </c>
      <c r="B254" s="19"/>
      <c r="C254" s="43" t="s">
        <v>238</v>
      </c>
      <c r="D254" s="43" t="s">
        <v>236</v>
      </c>
      <c r="E254" s="19"/>
      <c r="F254" s="18" t="str">
        <f aca="true">IF(E254="","",TODAY()-E254)</f>
        <v/>
      </c>
      <c r="G254" s="44" t="n">
        <v>14</v>
      </c>
      <c r="H254" s="45" t="str">
        <f aca="false">IF(E254="","",E254+G254)</f>
        <v/>
      </c>
      <c r="I254" s="19"/>
      <c r="J254" s="19"/>
      <c r="K254" s="19"/>
      <c r="L254" s="26" t="s">
        <v>239</v>
      </c>
      <c r="M254" s="46" t="str">
        <f aca="false">IF(E254="","—",IF(F254&gt;=G254,"🔴 VENCIDO",IF(F254&gt;=(G254-2),"🟡 REVISAR","🟢 OK")))</f>
        <v>—</v>
      </c>
      <c r="N254" s="19"/>
    </row>
    <row r="255" customFormat="false" ht="19.5" hidden="false" customHeight="true" outlineLevel="0" collapsed="false">
      <c r="A255" s="18" t="s">
        <v>116</v>
      </c>
      <c r="B255" s="19"/>
      <c r="C255" s="43" t="s">
        <v>240</v>
      </c>
      <c r="D255" s="43" t="s">
        <v>241</v>
      </c>
      <c r="E255" s="19"/>
      <c r="F255" s="18" t="str">
        <f aca="true">IF(E255="","",TODAY()-E255)</f>
        <v/>
      </c>
      <c r="G255" s="44" t="n">
        <v>21</v>
      </c>
      <c r="H255" s="45" t="str">
        <f aca="false">IF(E255="","",E255+G255)</f>
        <v/>
      </c>
      <c r="I255" s="19"/>
      <c r="J255" s="19"/>
      <c r="K255" s="19"/>
      <c r="L255" s="26" t="s">
        <v>242</v>
      </c>
      <c r="M255" s="46" t="str">
        <f aca="false">IF(E255="","—",IF(F255&gt;=G255,"🔴 VENCIDO",IF(F255&gt;=(G255-2),"🟡 REVISAR","🟢 OK")))</f>
        <v>—</v>
      </c>
      <c r="N255" s="19"/>
    </row>
    <row r="256" customFormat="false" ht="19.5" hidden="false" customHeight="true" outlineLevel="0" collapsed="false">
      <c r="A256" s="18" t="s">
        <v>116</v>
      </c>
      <c r="B256" s="19"/>
      <c r="C256" s="43" t="s">
        <v>243</v>
      </c>
      <c r="D256" s="43" t="s">
        <v>244</v>
      </c>
      <c r="E256" s="19"/>
      <c r="F256" s="18" t="str">
        <f aca="true">IF(E256="","",TODAY()-E256)</f>
        <v/>
      </c>
      <c r="G256" s="44" t="n">
        <v>30</v>
      </c>
      <c r="H256" s="45" t="str">
        <f aca="false">IF(E256="","",E256+G256)</f>
        <v/>
      </c>
      <c r="I256" s="19"/>
      <c r="J256" s="19"/>
      <c r="K256" s="19"/>
      <c r="L256" s="26" t="s">
        <v>245</v>
      </c>
      <c r="M256" s="46" t="str">
        <f aca="false">IF(E256="","—",IF(F256&gt;=G256,"🔴 VENCIDO",IF(F256&gt;=(G256-2),"🟡 REVISAR","🟢 OK")))</f>
        <v>—</v>
      </c>
      <c r="N256" s="19"/>
    </row>
    <row r="257" customFormat="false" ht="19.5" hidden="false" customHeight="true" outlineLevel="0" collapsed="false">
      <c r="A257" s="18" t="s">
        <v>116</v>
      </c>
      <c r="B257" s="19"/>
      <c r="C257" s="43" t="s">
        <v>246</v>
      </c>
      <c r="D257" s="43" t="s">
        <v>247</v>
      </c>
      <c r="E257" s="19"/>
      <c r="F257" s="18" t="str">
        <f aca="true">IF(E257="","",TODAY()-E257)</f>
        <v/>
      </c>
      <c r="G257" s="44" t="n">
        <v>14</v>
      </c>
      <c r="H257" s="45" t="str">
        <f aca="false">IF(E257="","",E257+G257)</f>
        <v/>
      </c>
      <c r="I257" s="19"/>
      <c r="J257" s="19"/>
      <c r="K257" s="19"/>
      <c r="L257" s="26" t="s">
        <v>248</v>
      </c>
      <c r="M257" s="46" t="str">
        <f aca="false">IF(E257="","—",IF(F257&gt;=G257,"🔴 VENCIDO",IF(F257&gt;=(G257-2),"🟡 REVISAR","🟢 OK")))</f>
        <v>—</v>
      </c>
      <c r="N257" s="19"/>
    </row>
    <row r="258" customFormat="false" ht="19.5" hidden="false" customHeight="true" outlineLevel="0" collapsed="false">
      <c r="A258" s="18" t="s">
        <v>116</v>
      </c>
      <c r="B258" s="19"/>
      <c r="C258" s="43" t="s">
        <v>249</v>
      </c>
      <c r="D258" s="43" t="s">
        <v>250</v>
      </c>
      <c r="E258" s="19"/>
      <c r="F258" s="18" t="str">
        <f aca="true">IF(E258="","",TODAY()-E258)</f>
        <v/>
      </c>
      <c r="G258" s="44" t="n">
        <v>14</v>
      </c>
      <c r="H258" s="45" t="str">
        <f aca="false">IF(E258="","",E258+G258)</f>
        <v/>
      </c>
      <c r="I258" s="19"/>
      <c r="J258" s="19"/>
      <c r="K258" s="19"/>
      <c r="L258" s="26" t="s">
        <v>251</v>
      </c>
      <c r="M258" s="46" t="str">
        <f aca="false">IF(E258="","—",IF(F258&gt;=G258,"🔴 VENCIDO",IF(F258&gt;=(G258-2),"🟡 REVISAR","🟢 OK")))</f>
        <v>—</v>
      </c>
      <c r="N258" s="19"/>
    </row>
    <row r="259" customFormat="false" ht="19.5" hidden="false" customHeight="true" outlineLevel="0" collapsed="false">
      <c r="A259" s="18" t="s">
        <v>116</v>
      </c>
      <c r="B259" s="19"/>
      <c r="C259" s="43" t="s">
        <v>252</v>
      </c>
      <c r="D259" s="43" t="s">
        <v>253</v>
      </c>
      <c r="E259" s="19"/>
      <c r="F259" s="18" t="str">
        <f aca="true">IF(E259="","",TODAY()-E259)</f>
        <v/>
      </c>
      <c r="G259" s="44" t="n">
        <v>14</v>
      </c>
      <c r="H259" s="45" t="str">
        <f aca="false">IF(E259="","",E259+G259)</f>
        <v/>
      </c>
      <c r="I259" s="19"/>
      <c r="J259" s="19"/>
      <c r="K259" s="19"/>
      <c r="L259" s="26" t="s">
        <v>254</v>
      </c>
      <c r="M259" s="46" t="str">
        <f aca="false">IF(E259="","—",IF(F259&gt;=G259,"🔴 VENCIDO",IF(F259&gt;=(G259-2),"🟡 REVISAR","🟢 OK")))</f>
        <v>—</v>
      </c>
      <c r="N259" s="19"/>
    </row>
    <row r="260" customFormat="false" ht="19.5" hidden="false" customHeight="true" outlineLevel="0" collapsed="false">
      <c r="A260" s="18" t="s">
        <v>116</v>
      </c>
      <c r="B260" s="19"/>
      <c r="C260" s="43" t="s">
        <v>255</v>
      </c>
      <c r="D260" s="43" t="s">
        <v>256</v>
      </c>
      <c r="E260" s="19"/>
      <c r="F260" s="18" t="str">
        <f aca="true">IF(E260="","",TODAY()-E260)</f>
        <v/>
      </c>
      <c r="G260" s="44" t="n">
        <v>90</v>
      </c>
      <c r="H260" s="45" t="str">
        <f aca="false">IF(E260="","",E260+G260)</f>
        <v/>
      </c>
      <c r="I260" s="19"/>
      <c r="J260" s="19"/>
      <c r="K260" s="19"/>
      <c r="L260" s="26" t="s">
        <v>257</v>
      </c>
      <c r="M260" s="46" t="str">
        <f aca="false">IF(E260="","—",IF(F260&gt;=G260,"🔴 VENCIDO",IF(F260&gt;=(G260-2),"🟡 REVISAR","🟢 OK")))</f>
        <v>—</v>
      </c>
      <c r="N260" s="19"/>
    </row>
    <row r="261" customFormat="false" ht="19.5" hidden="false" customHeight="true" outlineLevel="0" collapsed="false">
      <c r="A261" s="18" t="s">
        <v>116</v>
      </c>
      <c r="B261" s="19"/>
      <c r="C261" s="43" t="s">
        <v>258</v>
      </c>
      <c r="D261" s="43" t="s">
        <v>259</v>
      </c>
      <c r="E261" s="19"/>
      <c r="F261" s="18" t="str">
        <f aca="true">IF(E261="","",TODAY()-E261)</f>
        <v/>
      </c>
      <c r="G261" s="44" t="n">
        <v>4</v>
      </c>
      <c r="H261" s="45" t="str">
        <f aca="false">IF(E261="","",E261+G261)</f>
        <v/>
      </c>
      <c r="I261" s="19"/>
      <c r="J261" s="19"/>
      <c r="K261" s="19"/>
      <c r="L261" s="26" t="s">
        <v>260</v>
      </c>
      <c r="M261" s="46" t="str">
        <f aca="false">IF(E261="","—",IF(F261&gt;=G261,"🔴 VENCIDO",IF(F261&gt;=(G261-2),"🟡 REVISAR","🟢 OK")))</f>
        <v>—</v>
      </c>
      <c r="N261" s="19"/>
    </row>
    <row r="262" customFormat="false" ht="19.5" hidden="false" customHeight="true" outlineLevel="0" collapsed="false">
      <c r="A262" s="18" t="s">
        <v>116</v>
      </c>
      <c r="B262" s="19"/>
      <c r="C262" s="43" t="s">
        <v>261</v>
      </c>
      <c r="D262" s="43" t="s">
        <v>262</v>
      </c>
      <c r="E262" s="19"/>
      <c r="F262" s="18" t="str">
        <f aca="true">IF(E262="","",TODAY()-E262)</f>
        <v/>
      </c>
      <c r="G262" s="44" t="n">
        <v>2</v>
      </c>
      <c r="H262" s="45" t="str">
        <f aca="false">IF(E262="","",E262+G262)</f>
        <v/>
      </c>
      <c r="I262" s="19"/>
      <c r="J262" s="19"/>
      <c r="K262" s="19"/>
      <c r="L262" s="26" t="s">
        <v>263</v>
      </c>
      <c r="M262" s="46" t="str">
        <f aca="false">IF(E262="","—",IF(F262&gt;=G262,"🔴 VENCIDO",IF(F262&gt;=(G262-2),"🟡 REVISAR","🟢 OK")))</f>
        <v>—</v>
      </c>
      <c r="N262" s="19"/>
    </row>
    <row r="263" customFormat="false" ht="19.5" hidden="false" customHeight="true" outlineLevel="0" collapsed="false">
      <c r="A263" s="18" t="s">
        <v>116</v>
      </c>
      <c r="B263" s="19"/>
      <c r="C263" s="43" t="s">
        <v>264</v>
      </c>
      <c r="D263" s="43" t="s">
        <v>265</v>
      </c>
      <c r="E263" s="19"/>
      <c r="F263" s="18" t="str">
        <f aca="true">IF(E263="","",TODAY()-E263)</f>
        <v/>
      </c>
      <c r="G263" s="44" t="n">
        <v>7</v>
      </c>
      <c r="H263" s="45" t="str">
        <f aca="false">IF(E263="","",E263+G263)</f>
        <v/>
      </c>
      <c r="I263" s="19"/>
      <c r="J263" s="19"/>
      <c r="K263" s="19"/>
      <c r="L263" s="26" t="s">
        <v>266</v>
      </c>
      <c r="M263" s="46" t="str">
        <f aca="false">IF(E263="","—",IF(F263&gt;=G263,"🔴 VENCIDO",IF(F263&gt;=(G263-2),"🟡 REVISAR","🟢 OK")))</f>
        <v>—</v>
      </c>
      <c r="N263" s="19"/>
    </row>
    <row r="264" customFormat="false" ht="19.5" hidden="false" customHeight="true" outlineLevel="0" collapsed="false">
      <c r="A264" s="18" t="s">
        <v>116</v>
      </c>
      <c r="B264" s="19"/>
      <c r="C264" s="43" t="s">
        <v>267</v>
      </c>
      <c r="D264" s="43" t="s">
        <v>268</v>
      </c>
      <c r="E264" s="19"/>
      <c r="F264" s="18" t="str">
        <f aca="true">IF(E264="","",TODAY()-E264)</f>
        <v/>
      </c>
      <c r="G264" s="44" t="n">
        <v>14</v>
      </c>
      <c r="H264" s="45" t="str">
        <f aca="false">IF(E264="","",E264+G264)</f>
        <v/>
      </c>
      <c r="I264" s="19"/>
      <c r="J264" s="19"/>
      <c r="K264" s="19"/>
      <c r="L264" s="26" t="s">
        <v>269</v>
      </c>
      <c r="M264" s="46" t="str">
        <f aca="false">IF(E264="","—",IF(F264&gt;=G264,"🔴 VENCIDO",IF(F264&gt;=(G264-2),"🟡 REVISAR","🟢 OK")))</f>
        <v>—</v>
      </c>
      <c r="N264" s="19"/>
    </row>
    <row r="265" customFormat="false" ht="19.5" hidden="false" customHeight="true" outlineLevel="0" collapsed="false">
      <c r="A265" s="18" t="s">
        <v>116</v>
      </c>
      <c r="B265" s="19"/>
      <c r="C265" s="43" t="s">
        <v>270</v>
      </c>
      <c r="D265" s="43" t="s">
        <v>271</v>
      </c>
      <c r="E265" s="19"/>
      <c r="F265" s="18" t="str">
        <f aca="true">IF(E265="","",TODAY()-E265)</f>
        <v/>
      </c>
      <c r="G265" s="44" t="n">
        <v>7</v>
      </c>
      <c r="H265" s="45" t="str">
        <f aca="false">IF(E265="","",E265+G265)</f>
        <v/>
      </c>
      <c r="I265" s="19"/>
      <c r="J265" s="19"/>
      <c r="K265" s="19"/>
      <c r="L265" s="26" t="s">
        <v>239</v>
      </c>
      <c r="M265" s="46" t="str">
        <f aca="false">IF(E265="","—",IF(F265&gt;=G265,"🔴 VENCIDO",IF(F265&gt;=(G265-2),"🟡 REVISAR","🟢 OK")))</f>
        <v>—</v>
      </c>
      <c r="N265" s="19"/>
    </row>
    <row r="266" customFormat="false" ht="19.5" hidden="false" customHeight="true" outlineLevel="0" collapsed="false">
      <c r="A266" s="18" t="s">
        <v>116</v>
      </c>
      <c r="B266" s="19"/>
      <c r="C266" s="43" t="s">
        <v>272</v>
      </c>
      <c r="D266" s="43" t="s">
        <v>273</v>
      </c>
      <c r="E266" s="19"/>
      <c r="F266" s="18" t="str">
        <f aca="true">IF(E266="","",TODAY()-E266)</f>
        <v/>
      </c>
      <c r="G266" s="44" t="n">
        <v>90</v>
      </c>
      <c r="H266" s="45" t="str">
        <f aca="false">IF(E266="","",E266+G266)</f>
        <v/>
      </c>
      <c r="I266" s="19"/>
      <c r="J266" s="19"/>
      <c r="K266" s="19"/>
      <c r="L266" s="26" t="s">
        <v>274</v>
      </c>
      <c r="M266" s="46" t="str">
        <f aca="false">IF(E266="","—",IF(F266&gt;=G266,"🔴 VENCIDO",IF(F266&gt;=(G266-2),"🟡 REVISAR","🟢 OK")))</f>
        <v>—</v>
      </c>
      <c r="N266" s="19"/>
    </row>
    <row r="267" customFormat="false" ht="19.5" hidden="false" customHeight="true" outlineLevel="0" collapsed="false">
      <c r="A267" s="18" t="s">
        <v>116</v>
      </c>
      <c r="B267" s="19"/>
      <c r="C267" s="43" t="s">
        <v>275</v>
      </c>
      <c r="D267" s="43" t="s">
        <v>276</v>
      </c>
      <c r="E267" s="19"/>
      <c r="F267" s="18" t="str">
        <f aca="true">IF(E267="","",TODAY()-E267)</f>
        <v/>
      </c>
      <c r="G267" s="44" t="n">
        <v>21</v>
      </c>
      <c r="H267" s="45" t="str">
        <f aca="false">IF(E267="","",E267+G267)</f>
        <v/>
      </c>
      <c r="I267" s="19"/>
      <c r="J267" s="19"/>
      <c r="K267" s="19"/>
      <c r="L267" s="26" t="s">
        <v>277</v>
      </c>
      <c r="M267" s="46" t="str">
        <f aca="false">IF(E267="","—",IF(F267&gt;=G267,"🔴 VENCIDO",IF(F267&gt;=(G267-2),"🟡 REVISAR","🟢 OK")))</f>
        <v>—</v>
      </c>
      <c r="N267" s="19"/>
    </row>
    <row r="268" customFormat="false" ht="6" hidden="false" customHeight="true" outlineLevel="0" collapsed="false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 customFormat="false" ht="19.5" hidden="false" customHeight="true" outlineLevel="0" collapsed="false">
      <c r="A269" s="18" t="s">
        <v>117</v>
      </c>
      <c r="B269" s="19"/>
      <c r="C269" s="43" t="s">
        <v>226</v>
      </c>
      <c r="D269" s="43" t="s">
        <v>227</v>
      </c>
      <c r="E269" s="19"/>
      <c r="F269" s="18" t="str">
        <f aca="true">IF(E269="","",TODAY()-E269)</f>
        <v/>
      </c>
      <c r="G269" s="44" t="n">
        <v>14</v>
      </c>
      <c r="H269" s="45" t="str">
        <f aca="false">IF(E269="","",E269+G269)</f>
        <v/>
      </c>
      <c r="I269" s="19"/>
      <c r="J269" s="19"/>
      <c r="K269" s="19"/>
      <c r="L269" s="26" t="s">
        <v>228</v>
      </c>
      <c r="M269" s="46" t="str">
        <f aca="false">IF(E269="","—",IF(F269&gt;=G269,"🔴 VENCIDO",IF(F269&gt;=(G269-2),"🟡 REVISAR","🟢 OK")))</f>
        <v>—</v>
      </c>
      <c r="N269" s="19"/>
    </row>
    <row r="270" customFormat="false" ht="19.5" hidden="false" customHeight="true" outlineLevel="0" collapsed="false">
      <c r="A270" s="18" t="s">
        <v>117</v>
      </c>
      <c r="B270" s="19"/>
      <c r="C270" s="43" t="s">
        <v>229</v>
      </c>
      <c r="D270" s="43" t="s">
        <v>230</v>
      </c>
      <c r="E270" s="19"/>
      <c r="F270" s="18" t="str">
        <f aca="true">IF(E270="","",TODAY()-E270)</f>
        <v/>
      </c>
      <c r="G270" s="44" t="n">
        <v>7</v>
      </c>
      <c r="H270" s="45" t="str">
        <f aca="false">IF(E270="","",E270+G270)</f>
        <v/>
      </c>
      <c r="I270" s="19"/>
      <c r="J270" s="19"/>
      <c r="K270" s="19"/>
      <c r="L270" s="26" t="s">
        <v>231</v>
      </c>
      <c r="M270" s="46" t="str">
        <f aca="false">IF(E270="","—",IF(F270&gt;=G270,"🔴 VENCIDO",IF(F270&gt;=(G270-2),"🟡 REVISAR","🟢 OK")))</f>
        <v>—</v>
      </c>
      <c r="N270" s="19"/>
    </row>
    <row r="271" customFormat="false" ht="19.5" hidden="false" customHeight="true" outlineLevel="0" collapsed="false">
      <c r="A271" s="18" t="s">
        <v>117</v>
      </c>
      <c r="B271" s="19"/>
      <c r="C271" s="43" t="s">
        <v>232</v>
      </c>
      <c r="D271" s="43" t="s">
        <v>233</v>
      </c>
      <c r="E271" s="19"/>
      <c r="F271" s="18" t="str">
        <f aca="true">IF(E271="","",TODAY()-E271)</f>
        <v/>
      </c>
      <c r="G271" s="44" t="n">
        <v>30</v>
      </c>
      <c r="H271" s="45" t="str">
        <f aca="false">IF(E271="","",E271+G271)</f>
        <v/>
      </c>
      <c r="I271" s="19"/>
      <c r="J271" s="19"/>
      <c r="K271" s="19"/>
      <c r="L271" s="26" t="s">
        <v>234</v>
      </c>
      <c r="M271" s="46" t="str">
        <f aca="false">IF(E271="","—",IF(F271&gt;=G271,"🔴 VENCIDO",IF(F271&gt;=(G271-2),"🟡 REVISAR","🟢 OK")))</f>
        <v>—</v>
      </c>
      <c r="N271" s="19"/>
    </row>
    <row r="272" customFormat="false" ht="19.5" hidden="false" customHeight="true" outlineLevel="0" collapsed="false">
      <c r="A272" s="18" t="s">
        <v>117</v>
      </c>
      <c r="B272" s="19"/>
      <c r="C272" s="43" t="s">
        <v>235</v>
      </c>
      <c r="D272" s="43" t="s">
        <v>236</v>
      </c>
      <c r="E272" s="19"/>
      <c r="F272" s="18" t="str">
        <f aca="true">IF(E272="","",TODAY()-E272)</f>
        <v/>
      </c>
      <c r="G272" s="44" t="n">
        <v>30</v>
      </c>
      <c r="H272" s="45" t="str">
        <f aca="false">IF(E272="","",E272+G272)</f>
        <v/>
      </c>
      <c r="I272" s="19"/>
      <c r="J272" s="19"/>
      <c r="K272" s="19"/>
      <c r="L272" s="26" t="s">
        <v>237</v>
      </c>
      <c r="M272" s="46" t="str">
        <f aca="false">IF(E272="","—",IF(F272&gt;=G272,"🔴 VENCIDO",IF(F272&gt;=(G272-2),"🟡 REVISAR","🟢 OK")))</f>
        <v>—</v>
      </c>
      <c r="N272" s="19"/>
    </row>
    <row r="273" customFormat="false" ht="19.5" hidden="false" customHeight="true" outlineLevel="0" collapsed="false">
      <c r="A273" s="18" t="s">
        <v>117</v>
      </c>
      <c r="B273" s="19"/>
      <c r="C273" s="43" t="s">
        <v>238</v>
      </c>
      <c r="D273" s="43" t="s">
        <v>236</v>
      </c>
      <c r="E273" s="19"/>
      <c r="F273" s="18" t="str">
        <f aca="true">IF(E273="","",TODAY()-E273)</f>
        <v/>
      </c>
      <c r="G273" s="44" t="n">
        <v>14</v>
      </c>
      <c r="H273" s="45" t="str">
        <f aca="false">IF(E273="","",E273+G273)</f>
        <v/>
      </c>
      <c r="I273" s="19"/>
      <c r="J273" s="19"/>
      <c r="K273" s="19"/>
      <c r="L273" s="26" t="s">
        <v>239</v>
      </c>
      <c r="M273" s="46" t="str">
        <f aca="false">IF(E273="","—",IF(F273&gt;=G273,"🔴 VENCIDO",IF(F273&gt;=(G273-2),"🟡 REVISAR","🟢 OK")))</f>
        <v>—</v>
      </c>
      <c r="N273" s="19"/>
    </row>
    <row r="274" customFormat="false" ht="19.5" hidden="false" customHeight="true" outlineLevel="0" collapsed="false">
      <c r="A274" s="18" t="s">
        <v>117</v>
      </c>
      <c r="B274" s="19"/>
      <c r="C274" s="43" t="s">
        <v>240</v>
      </c>
      <c r="D274" s="43" t="s">
        <v>241</v>
      </c>
      <c r="E274" s="19"/>
      <c r="F274" s="18" t="str">
        <f aca="true">IF(E274="","",TODAY()-E274)</f>
        <v/>
      </c>
      <c r="G274" s="44" t="n">
        <v>21</v>
      </c>
      <c r="H274" s="45" t="str">
        <f aca="false">IF(E274="","",E274+G274)</f>
        <v/>
      </c>
      <c r="I274" s="19"/>
      <c r="J274" s="19"/>
      <c r="K274" s="19"/>
      <c r="L274" s="26" t="s">
        <v>242</v>
      </c>
      <c r="M274" s="46" t="str">
        <f aca="false">IF(E274="","—",IF(F274&gt;=G274,"🔴 VENCIDO",IF(F274&gt;=(G274-2),"🟡 REVISAR","🟢 OK")))</f>
        <v>—</v>
      </c>
      <c r="N274" s="19"/>
    </row>
    <row r="275" customFormat="false" ht="19.5" hidden="false" customHeight="true" outlineLevel="0" collapsed="false">
      <c r="A275" s="18" t="s">
        <v>117</v>
      </c>
      <c r="B275" s="19"/>
      <c r="C275" s="43" t="s">
        <v>243</v>
      </c>
      <c r="D275" s="43" t="s">
        <v>244</v>
      </c>
      <c r="E275" s="19"/>
      <c r="F275" s="18" t="str">
        <f aca="true">IF(E275="","",TODAY()-E275)</f>
        <v/>
      </c>
      <c r="G275" s="44" t="n">
        <v>30</v>
      </c>
      <c r="H275" s="45" t="str">
        <f aca="false">IF(E275="","",E275+G275)</f>
        <v/>
      </c>
      <c r="I275" s="19"/>
      <c r="J275" s="19"/>
      <c r="K275" s="19"/>
      <c r="L275" s="26" t="s">
        <v>245</v>
      </c>
      <c r="M275" s="46" t="str">
        <f aca="false">IF(E275="","—",IF(F275&gt;=G275,"🔴 VENCIDO",IF(F275&gt;=(G275-2),"🟡 REVISAR","🟢 OK")))</f>
        <v>—</v>
      </c>
      <c r="N275" s="19"/>
    </row>
    <row r="276" customFormat="false" ht="19.5" hidden="false" customHeight="true" outlineLevel="0" collapsed="false">
      <c r="A276" s="18" t="s">
        <v>117</v>
      </c>
      <c r="B276" s="19"/>
      <c r="C276" s="43" t="s">
        <v>246</v>
      </c>
      <c r="D276" s="43" t="s">
        <v>247</v>
      </c>
      <c r="E276" s="19"/>
      <c r="F276" s="18" t="str">
        <f aca="true">IF(E276="","",TODAY()-E276)</f>
        <v/>
      </c>
      <c r="G276" s="44" t="n">
        <v>14</v>
      </c>
      <c r="H276" s="45" t="str">
        <f aca="false">IF(E276="","",E276+G276)</f>
        <v/>
      </c>
      <c r="I276" s="19"/>
      <c r="J276" s="19"/>
      <c r="K276" s="19"/>
      <c r="L276" s="26" t="s">
        <v>248</v>
      </c>
      <c r="M276" s="46" t="str">
        <f aca="false">IF(E276="","—",IF(F276&gt;=G276,"🔴 VENCIDO",IF(F276&gt;=(G276-2),"🟡 REVISAR","🟢 OK")))</f>
        <v>—</v>
      </c>
      <c r="N276" s="19"/>
    </row>
    <row r="277" customFormat="false" ht="19.5" hidden="false" customHeight="true" outlineLevel="0" collapsed="false">
      <c r="A277" s="18" t="s">
        <v>117</v>
      </c>
      <c r="B277" s="19"/>
      <c r="C277" s="43" t="s">
        <v>249</v>
      </c>
      <c r="D277" s="43" t="s">
        <v>250</v>
      </c>
      <c r="E277" s="19"/>
      <c r="F277" s="18" t="str">
        <f aca="true">IF(E277="","",TODAY()-E277)</f>
        <v/>
      </c>
      <c r="G277" s="44" t="n">
        <v>14</v>
      </c>
      <c r="H277" s="45" t="str">
        <f aca="false">IF(E277="","",E277+G277)</f>
        <v/>
      </c>
      <c r="I277" s="19"/>
      <c r="J277" s="19"/>
      <c r="K277" s="19"/>
      <c r="L277" s="26" t="s">
        <v>251</v>
      </c>
      <c r="M277" s="46" t="str">
        <f aca="false">IF(E277="","—",IF(F277&gt;=G277,"🔴 VENCIDO",IF(F277&gt;=(G277-2),"🟡 REVISAR","🟢 OK")))</f>
        <v>—</v>
      </c>
      <c r="N277" s="19"/>
    </row>
    <row r="278" customFormat="false" ht="19.5" hidden="false" customHeight="true" outlineLevel="0" collapsed="false">
      <c r="A278" s="18" t="s">
        <v>117</v>
      </c>
      <c r="B278" s="19"/>
      <c r="C278" s="43" t="s">
        <v>252</v>
      </c>
      <c r="D278" s="43" t="s">
        <v>253</v>
      </c>
      <c r="E278" s="19"/>
      <c r="F278" s="18" t="str">
        <f aca="true">IF(E278="","",TODAY()-E278)</f>
        <v/>
      </c>
      <c r="G278" s="44" t="n">
        <v>14</v>
      </c>
      <c r="H278" s="45" t="str">
        <f aca="false">IF(E278="","",E278+G278)</f>
        <v/>
      </c>
      <c r="I278" s="19"/>
      <c r="J278" s="19"/>
      <c r="K278" s="19"/>
      <c r="L278" s="26" t="s">
        <v>254</v>
      </c>
      <c r="M278" s="46" t="str">
        <f aca="false">IF(E278="","—",IF(F278&gt;=G278,"🔴 VENCIDO",IF(F278&gt;=(G278-2),"🟡 REVISAR","🟢 OK")))</f>
        <v>—</v>
      </c>
      <c r="N278" s="19"/>
    </row>
    <row r="279" customFormat="false" ht="19.5" hidden="false" customHeight="true" outlineLevel="0" collapsed="false">
      <c r="A279" s="18" t="s">
        <v>117</v>
      </c>
      <c r="B279" s="19"/>
      <c r="C279" s="43" t="s">
        <v>255</v>
      </c>
      <c r="D279" s="43" t="s">
        <v>256</v>
      </c>
      <c r="E279" s="19"/>
      <c r="F279" s="18" t="str">
        <f aca="true">IF(E279="","",TODAY()-E279)</f>
        <v/>
      </c>
      <c r="G279" s="44" t="n">
        <v>90</v>
      </c>
      <c r="H279" s="45" t="str">
        <f aca="false">IF(E279="","",E279+G279)</f>
        <v/>
      </c>
      <c r="I279" s="19"/>
      <c r="J279" s="19"/>
      <c r="K279" s="19"/>
      <c r="L279" s="26" t="s">
        <v>257</v>
      </c>
      <c r="M279" s="46" t="str">
        <f aca="false">IF(E279="","—",IF(F279&gt;=G279,"🔴 VENCIDO",IF(F279&gt;=(G279-2),"🟡 REVISAR","🟢 OK")))</f>
        <v>—</v>
      </c>
      <c r="N279" s="19"/>
    </row>
    <row r="280" customFormat="false" ht="19.5" hidden="false" customHeight="true" outlineLevel="0" collapsed="false">
      <c r="A280" s="18" t="s">
        <v>117</v>
      </c>
      <c r="B280" s="19"/>
      <c r="C280" s="43" t="s">
        <v>258</v>
      </c>
      <c r="D280" s="43" t="s">
        <v>259</v>
      </c>
      <c r="E280" s="19"/>
      <c r="F280" s="18" t="str">
        <f aca="true">IF(E280="","",TODAY()-E280)</f>
        <v/>
      </c>
      <c r="G280" s="44" t="n">
        <v>4</v>
      </c>
      <c r="H280" s="45" t="str">
        <f aca="false">IF(E280="","",E280+G280)</f>
        <v/>
      </c>
      <c r="I280" s="19"/>
      <c r="J280" s="19"/>
      <c r="K280" s="19"/>
      <c r="L280" s="26" t="s">
        <v>260</v>
      </c>
      <c r="M280" s="46" t="str">
        <f aca="false">IF(E280="","—",IF(F280&gt;=G280,"🔴 VENCIDO",IF(F280&gt;=(G280-2),"🟡 REVISAR","🟢 OK")))</f>
        <v>—</v>
      </c>
      <c r="N280" s="19"/>
    </row>
    <row r="281" customFormat="false" ht="19.5" hidden="false" customHeight="true" outlineLevel="0" collapsed="false">
      <c r="A281" s="18" t="s">
        <v>117</v>
      </c>
      <c r="B281" s="19"/>
      <c r="C281" s="43" t="s">
        <v>261</v>
      </c>
      <c r="D281" s="43" t="s">
        <v>262</v>
      </c>
      <c r="E281" s="19"/>
      <c r="F281" s="18" t="str">
        <f aca="true">IF(E281="","",TODAY()-E281)</f>
        <v/>
      </c>
      <c r="G281" s="44" t="n">
        <v>2</v>
      </c>
      <c r="H281" s="45" t="str">
        <f aca="false">IF(E281="","",E281+G281)</f>
        <v/>
      </c>
      <c r="I281" s="19"/>
      <c r="J281" s="19"/>
      <c r="K281" s="19"/>
      <c r="L281" s="26" t="s">
        <v>263</v>
      </c>
      <c r="M281" s="46" t="str">
        <f aca="false">IF(E281="","—",IF(F281&gt;=G281,"🔴 VENCIDO",IF(F281&gt;=(G281-2),"🟡 REVISAR","🟢 OK")))</f>
        <v>—</v>
      </c>
      <c r="N281" s="19"/>
    </row>
    <row r="282" customFormat="false" ht="19.5" hidden="false" customHeight="true" outlineLevel="0" collapsed="false">
      <c r="A282" s="18" t="s">
        <v>117</v>
      </c>
      <c r="B282" s="19"/>
      <c r="C282" s="43" t="s">
        <v>264</v>
      </c>
      <c r="D282" s="43" t="s">
        <v>265</v>
      </c>
      <c r="E282" s="19"/>
      <c r="F282" s="18" t="str">
        <f aca="true">IF(E282="","",TODAY()-E282)</f>
        <v/>
      </c>
      <c r="G282" s="44" t="n">
        <v>7</v>
      </c>
      <c r="H282" s="45" t="str">
        <f aca="false">IF(E282="","",E282+G282)</f>
        <v/>
      </c>
      <c r="I282" s="19"/>
      <c r="J282" s="19"/>
      <c r="K282" s="19"/>
      <c r="L282" s="26" t="s">
        <v>266</v>
      </c>
      <c r="M282" s="46" t="str">
        <f aca="false">IF(E282="","—",IF(F282&gt;=G282,"🔴 VENCIDO",IF(F282&gt;=(G282-2),"🟡 REVISAR","🟢 OK")))</f>
        <v>—</v>
      </c>
      <c r="N282" s="19"/>
    </row>
    <row r="283" customFormat="false" ht="19.5" hidden="false" customHeight="true" outlineLevel="0" collapsed="false">
      <c r="A283" s="18" t="s">
        <v>117</v>
      </c>
      <c r="B283" s="19"/>
      <c r="C283" s="43" t="s">
        <v>267</v>
      </c>
      <c r="D283" s="43" t="s">
        <v>268</v>
      </c>
      <c r="E283" s="19"/>
      <c r="F283" s="18" t="str">
        <f aca="true">IF(E283="","",TODAY()-E283)</f>
        <v/>
      </c>
      <c r="G283" s="44" t="n">
        <v>14</v>
      </c>
      <c r="H283" s="45" t="str">
        <f aca="false">IF(E283="","",E283+G283)</f>
        <v/>
      </c>
      <c r="I283" s="19"/>
      <c r="J283" s="19"/>
      <c r="K283" s="19"/>
      <c r="L283" s="26" t="s">
        <v>269</v>
      </c>
      <c r="M283" s="46" t="str">
        <f aca="false">IF(E283="","—",IF(F283&gt;=G283,"🔴 VENCIDO",IF(F283&gt;=(G283-2),"🟡 REVISAR","🟢 OK")))</f>
        <v>—</v>
      </c>
      <c r="N283" s="19"/>
    </row>
    <row r="284" customFormat="false" ht="19.5" hidden="false" customHeight="true" outlineLevel="0" collapsed="false">
      <c r="A284" s="18" t="s">
        <v>117</v>
      </c>
      <c r="B284" s="19"/>
      <c r="C284" s="43" t="s">
        <v>270</v>
      </c>
      <c r="D284" s="43" t="s">
        <v>271</v>
      </c>
      <c r="E284" s="19"/>
      <c r="F284" s="18" t="str">
        <f aca="true">IF(E284="","",TODAY()-E284)</f>
        <v/>
      </c>
      <c r="G284" s="44" t="n">
        <v>7</v>
      </c>
      <c r="H284" s="45" t="str">
        <f aca="false">IF(E284="","",E284+G284)</f>
        <v/>
      </c>
      <c r="I284" s="19"/>
      <c r="J284" s="19"/>
      <c r="K284" s="19"/>
      <c r="L284" s="26" t="s">
        <v>239</v>
      </c>
      <c r="M284" s="46" t="str">
        <f aca="false">IF(E284="","—",IF(F284&gt;=G284,"🔴 VENCIDO",IF(F284&gt;=(G284-2),"🟡 REVISAR","🟢 OK")))</f>
        <v>—</v>
      </c>
      <c r="N284" s="19"/>
    </row>
    <row r="285" customFormat="false" ht="19.5" hidden="false" customHeight="true" outlineLevel="0" collapsed="false">
      <c r="A285" s="18" t="s">
        <v>117</v>
      </c>
      <c r="B285" s="19"/>
      <c r="C285" s="43" t="s">
        <v>272</v>
      </c>
      <c r="D285" s="43" t="s">
        <v>273</v>
      </c>
      <c r="E285" s="19"/>
      <c r="F285" s="18" t="str">
        <f aca="true">IF(E285="","",TODAY()-E285)</f>
        <v/>
      </c>
      <c r="G285" s="44" t="n">
        <v>90</v>
      </c>
      <c r="H285" s="45" t="str">
        <f aca="false">IF(E285="","",E285+G285)</f>
        <v/>
      </c>
      <c r="I285" s="19"/>
      <c r="J285" s="19"/>
      <c r="K285" s="19"/>
      <c r="L285" s="26" t="s">
        <v>274</v>
      </c>
      <c r="M285" s="46" t="str">
        <f aca="false">IF(E285="","—",IF(F285&gt;=G285,"🔴 VENCIDO",IF(F285&gt;=(G285-2),"🟡 REVISAR","🟢 OK")))</f>
        <v>—</v>
      </c>
      <c r="N285" s="19"/>
    </row>
    <row r="286" customFormat="false" ht="19.5" hidden="false" customHeight="true" outlineLevel="0" collapsed="false">
      <c r="A286" s="18" t="s">
        <v>117</v>
      </c>
      <c r="B286" s="19"/>
      <c r="C286" s="43" t="s">
        <v>275</v>
      </c>
      <c r="D286" s="43" t="s">
        <v>276</v>
      </c>
      <c r="E286" s="19"/>
      <c r="F286" s="18" t="str">
        <f aca="true">IF(E286="","",TODAY()-E286)</f>
        <v/>
      </c>
      <c r="G286" s="44" t="n">
        <v>21</v>
      </c>
      <c r="H286" s="45" t="str">
        <f aca="false">IF(E286="","",E286+G286)</f>
        <v/>
      </c>
      <c r="I286" s="19"/>
      <c r="J286" s="19"/>
      <c r="K286" s="19"/>
      <c r="L286" s="26" t="s">
        <v>277</v>
      </c>
      <c r="M286" s="46" t="str">
        <f aca="false">IF(E286="","—",IF(F286&gt;=G286,"🔴 VENCIDO",IF(F286&gt;=(G286-2),"🟡 REVISAR","🟢 OK")))</f>
        <v>—</v>
      </c>
      <c r="N286" s="19"/>
    </row>
    <row r="287" customFormat="false" ht="6" hidden="false" customHeight="true" outlineLevel="0" collapsed="false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 customFormat="false" ht="19.5" hidden="false" customHeight="true" outlineLevel="0" collapsed="false">
      <c r="A288" s="18" t="s">
        <v>118</v>
      </c>
      <c r="B288" s="19"/>
      <c r="C288" s="43" t="s">
        <v>226</v>
      </c>
      <c r="D288" s="43" t="s">
        <v>227</v>
      </c>
      <c r="E288" s="19"/>
      <c r="F288" s="18" t="str">
        <f aca="true">IF(E288="","",TODAY()-E288)</f>
        <v/>
      </c>
      <c r="G288" s="44" t="n">
        <v>14</v>
      </c>
      <c r="H288" s="45" t="str">
        <f aca="false">IF(E288="","",E288+G288)</f>
        <v/>
      </c>
      <c r="I288" s="19"/>
      <c r="J288" s="19"/>
      <c r="K288" s="19"/>
      <c r="L288" s="26" t="s">
        <v>228</v>
      </c>
      <c r="M288" s="46" t="str">
        <f aca="false">IF(E288="","—",IF(F288&gt;=G288,"🔴 VENCIDO",IF(F288&gt;=(G288-2),"🟡 REVISAR","🟢 OK")))</f>
        <v>—</v>
      </c>
      <c r="N288" s="19"/>
    </row>
    <row r="289" customFormat="false" ht="19.5" hidden="false" customHeight="true" outlineLevel="0" collapsed="false">
      <c r="A289" s="18" t="s">
        <v>118</v>
      </c>
      <c r="B289" s="19"/>
      <c r="C289" s="43" t="s">
        <v>229</v>
      </c>
      <c r="D289" s="43" t="s">
        <v>230</v>
      </c>
      <c r="E289" s="19"/>
      <c r="F289" s="18" t="str">
        <f aca="true">IF(E289="","",TODAY()-E289)</f>
        <v/>
      </c>
      <c r="G289" s="44" t="n">
        <v>7</v>
      </c>
      <c r="H289" s="45" t="str">
        <f aca="false">IF(E289="","",E289+G289)</f>
        <v/>
      </c>
      <c r="I289" s="19"/>
      <c r="J289" s="19"/>
      <c r="K289" s="19"/>
      <c r="L289" s="26" t="s">
        <v>231</v>
      </c>
      <c r="M289" s="46" t="str">
        <f aca="false">IF(E289="","—",IF(F289&gt;=G289,"🔴 VENCIDO",IF(F289&gt;=(G289-2),"🟡 REVISAR","🟢 OK")))</f>
        <v>—</v>
      </c>
      <c r="N289" s="19"/>
    </row>
    <row r="290" customFormat="false" ht="19.5" hidden="false" customHeight="true" outlineLevel="0" collapsed="false">
      <c r="A290" s="18" t="s">
        <v>118</v>
      </c>
      <c r="B290" s="19"/>
      <c r="C290" s="43" t="s">
        <v>232</v>
      </c>
      <c r="D290" s="43" t="s">
        <v>233</v>
      </c>
      <c r="E290" s="19"/>
      <c r="F290" s="18" t="str">
        <f aca="true">IF(E290="","",TODAY()-E290)</f>
        <v/>
      </c>
      <c r="G290" s="44" t="n">
        <v>30</v>
      </c>
      <c r="H290" s="45" t="str">
        <f aca="false">IF(E290="","",E290+G290)</f>
        <v/>
      </c>
      <c r="I290" s="19"/>
      <c r="J290" s="19"/>
      <c r="K290" s="19"/>
      <c r="L290" s="26" t="s">
        <v>234</v>
      </c>
      <c r="M290" s="46" t="str">
        <f aca="false">IF(E290="","—",IF(F290&gt;=G290,"🔴 VENCIDO",IF(F290&gt;=(G290-2),"🟡 REVISAR","🟢 OK")))</f>
        <v>—</v>
      </c>
      <c r="N290" s="19"/>
    </row>
    <row r="291" customFormat="false" ht="19.5" hidden="false" customHeight="true" outlineLevel="0" collapsed="false">
      <c r="A291" s="18" t="s">
        <v>118</v>
      </c>
      <c r="B291" s="19"/>
      <c r="C291" s="43" t="s">
        <v>235</v>
      </c>
      <c r="D291" s="43" t="s">
        <v>236</v>
      </c>
      <c r="E291" s="19"/>
      <c r="F291" s="18" t="str">
        <f aca="true">IF(E291="","",TODAY()-E291)</f>
        <v/>
      </c>
      <c r="G291" s="44" t="n">
        <v>30</v>
      </c>
      <c r="H291" s="45" t="str">
        <f aca="false">IF(E291="","",E291+G291)</f>
        <v/>
      </c>
      <c r="I291" s="19"/>
      <c r="J291" s="19"/>
      <c r="K291" s="19"/>
      <c r="L291" s="26" t="s">
        <v>237</v>
      </c>
      <c r="M291" s="46" t="str">
        <f aca="false">IF(E291="","—",IF(F291&gt;=G291,"🔴 VENCIDO",IF(F291&gt;=(G291-2),"🟡 REVISAR","🟢 OK")))</f>
        <v>—</v>
      </c>
      <c r="N291" s="19"/>
    </row>
    <row r="292" customFormat="false" ht="19.5" hidden="false" customHeight="true" outlineLevel="0" collapsed="false">
      <c r="A292" s="18" t="s">
        <v>118</v>
      </c>
      <c r="B292" s="19"/>
      <c r="C292" s="43" t="s">
        <v>238</v>
      </c>
      <c r="D292" s="43" t="s">
        <v>236</v>
      </c>
      <c r="E292" s="19"/>
      <c r="F292" s="18" t="str">
        <f aca="true">IF(E292="","",TODAY()-E292)</f>
        <v/>
      </c>
      <c r="G292" s="44" t="n">
        <v>14</v>
      </c>
      <c r="H292" s="45" t="str">
        <f aca="false">IF(E292="","",E292+G292)</f>
        <v/>
      </c>
      <c r="I292" s="19"/>
      <c r="J292" s="19"/>
      <c r="K292" s="19"/>
      <c r="L292" s="26" t="s">
        <v>239</v>
      </c>
      <c r="M292" s="46" t="str">
        <f aca="false">IF(E292="","—",IF(F292&gt;=G292,"🔴 VENCIDO",IF(F292&gt;=(G292-2),"🟡 REVISAR","🟢 OK")))</f>
        <v>—</v>
      </c>
      <c r="N292" s="19"/>
    </row>
    <row r="293" customFormat="false" ht="19.5" hidden="false" customHeight="true" outlineLevel="0" collapsed="false">
      <c r="A293" s="18" t="s">
        <v>118</v>
      </c>
      <c r="B293" s="19"/>
      <c r="C293" s="43" t="s">
        <v>240</v>
      </c>
      <c r="D293" s="43" t="s">
        <v>241</v>
      </c>
      <c r="E293" s="19"/>
      <c r="F293" s="18" t="str">
        <f aca="true">IF(E293="","",TODAY()-E293)</f>
        <v/>
      </c>
      <c r="G293" s="44" t="n">
        <v>21</v>
      </c>
      <c r="H293" s="45" t="str">
        <f aca="false">IF(E293="","",E293+G293)</f>
        <v/>
      </c>
      <c r="I293" s="19"/>
      <c r="J293" s="19"/>
      <c r="K293" s="19"/>
      <c r="L293" s="26" t="s">
        <v>242</v>
      </c>
      <c r="M293" s="46" t="str">
        <f aca="false">IF(E293="","—",IF(F293&gt;=G293,"🔴 VENCIDO",IF(F293&gt;=(G293-2),"🟡 REVISAR","🟢 OK")))</f>
        <v>—</v>
      </c>
      <c r="N293" s="19"/>
    </row>
    <row r="294" customFormat="false" ht="19.5" hidden="false" customHeight="true" outlineLevel="0" collapsed="false">
      <c r="A294" s="18" t="s">
        <v>118</v>
      </c>
      <c r="B294" s="19"/>
      <c r="C294" s="43" t="s">
        <v>243</v>
      </c>
      <c r="D294" s="43" t="s">
        <v>244</v>
      </c>
      <c r="E294" s="19"/>
      <c r="F294" s="18" t="str">
        <f aca="true">IF(E294="","",TODAY()-E294)</f>
        <v/>
      </c>
      <c r="G294" s="44" t="n">
        <v>30</v>
      </c>
      <c r="H294" s="45" t="str">
        <f aca="false">IF(E294="","",E294+G294)</f>
        <v/>
      </c>
      <c r="I294" s="19"/>
      <c r="J294" s="19"/>
      <c r="K294" s="19"/>
      <c r="L294" s="26" t="s">
        <v>245</v>
      </c>
      <c r="M294" s="46" t="str">
        <f aca="false">IF(E294="","—",IF(F294&gt;=G294,"🔴 VENCIDO",IF(F294&gt;=(G294-2),"🟡 REVISAR","🟢 OK")))</f>
        <v>—</v>
      </c>
      <c r="N294" s="19"/>
    </row>
    <row r="295" customFormat="false" ht="19.5" hidden="false" customHeight="true" outlineLevel="0" collapsed="false">
      <c r="A295" s="18" t="s">
        <v>118</v>
      </c>
      <c r="B295" s="19"/>
      <c r="C295" s="43" t="s">
        <v>246</v>
      </c>
      <c r="D295" s="43" t="s">
        <v>247</v>
      </c>
      <c r="E295" s="19"/>
      <c r="F295" s="18" t="str">
        <f aca="true">IF(E295="","",TODAY()-E295)</f>
        <v/>
      </c>
      <c r="G295" s="44" t="n">
        <v>14</v>
      </c>
      <c r="H295" s="45" t="str">
        <f aca="false">IF(E295="","",E295+G295)</f>
        <v/>
      </c>
      <c r="I295" s="19"/>
      <c r="J295" s="19"/>
      <c r="K295" s="19"/>
      <c r="L295" s="26" t="s">
        <v>248</v>
      </c>
      <c r="M295" s="46" t="str">
        <f aca="false">IF(E295="","—",IF(F295&gt;=G295,"🔴 VENCIDO",IF(F295&gt;=(G295-2),"🟡 REVISAR","🟢 OK")))</f>
        <v>—</v>
      </c>
      <c r="N295" s="19"/>
    </row>
    <row r="296" customFormat="false" ht="19.5" hidden="false" customHeight="true" outlineLevel="0" collapsed="false">
      <c r="A296" s="18" t="s">
        <v>118</v>
      </c>
      <c r="B296" s="19"/>
      <c r="C296" s="43" t="s">
        <v>249</v>
      </c>
      <c r="D296" s="43" t="s">
        <v>250</v>
      </c>
      <c r="E296" s="19"/>
      <c r="F296" s="18" t="str">
        <f aca="true">IF(E296="","",TODAY()-E296)</f>
        <v/>
      </c>
      <c r="G296" s="44" t="n">
        <v>14</v>
      </c>
      <c r="H296" s="45" t="str">
        <f aca="false">IF(E296="","",E296+G296)</f>
        <v/>
      </c>
      <c r="I296" s="19"/>
      <c r="J296" s="19"/>
      <c r="K296" s="19"/>
      <c r="L296" s="26" t="s">
        <v>251</v>
      </c>
      <c r="M296" s="46" t="str">
        <f aca="false">IF(E296="","—",IF(F296&gt;=G296,"🔴 VENCIDO",IF(F296&gt;=(G296-2),"🟡 REVISAR","🟢 OK")))</f>
        <v>—</v>
      </c>
      <c r="N296" s="19"/>
    </row>
    <row r="297" customFormat="false" ht="19.5" hidden="false" customHeight="true" outlineLevel="0" collapsed="false">
      <c r="A297" s="18" t="s">
        <v>118</v>
      </c>
      <c r="B297" s="19"/>
      <c r="C297" s="43" t="s">
        <v>252</v>
      </c>
      <c r="D297" s="43" t="s">
        <v>253</v>
      </c>
      <c r="E297" s="19"/>
      <c r="F297" s="18" t="str">
        <f aca="true">IF(E297="","",TODAY()-E297)</f>
        <v/>
      </c>
      <c r="G297" s="44" t="n">
        <v>14</v>
      </c>
      <c r="H297" s="45" t="str">
        <f aca="false">IF(E297="","",E297+G297)</f>
        <v/>
      </c>
      <c r="I297" s="19"/>
      <c r="J297" s="19"/>
      <c r="K297" s="19"/>
      <c r="L297" s="26" t="s">
        <v>254</v>
      </c>
      <c r="M297" s="46" t="str">
        <f aca="false">IF(E297="","—",IF(F297&gt;=G297,"🔴 VENCIDO",IF(F297&gt;=(G297-2),"🟡 REVISAR","🟢 OK")))</f>
        <v>—</v>
      </c>
      <c r="N297" s="19"/>
    </row>
    <row r="298" customFormat="false" ht="19.5" hidden="false" customHeight="true" outlineLevel="0" collapsed="false">
      <c r="A298" s="18" t="s">
        <v>118</v>
      </c>
      <c r="B298" s="19"/>
      <c r="C298" s="43" t="s">
        <v>255</v>
      </c>
      <c r="D298" s="43" t="s">
        <v>256</v>
      </c>
      <c r="E298" s="19"/>
      <c r="F298" s="18" t="str">
        <f aca="true">IF(E298="","",TODAY()-E298)</f>
        <v/>
      </c>
      <c r="G298" s="44" t="n">
        <v>90</v>
      </c>
      <c r="H298" s="45" t="str">
        <f aca="false">IF(E298="","",E298+G298)</f>
        <v/>
      </c>
      <c r="I298" s="19"/>
      <c r="J298" s="19"/>
      <c r="K298" s="19"/>
      <c r="L298" s="26" t="s">
        <v>257</v>
      </c>
      <c r="M298" s="46" t="str">
        <f aca="false">IF(E298="","—",IF(F298&gt;=G298,"🔴 VENCIDO",IF(F298&gt;=(G298-2),"🟡 REVISAR","🟢 OK")))</f>
        <v>—</v>
      </c>
      <c r="N298" s="19"/>
    </row>
    <row r="299" customFormat="false" ht="19.5" hidden="false" customHeight="true" outlineLevel="0" collapsed="false">
      <c r="A299" s="18" t="s">
        <v>118</v>
      </c>
      <c r="B299" s="19"/>
      <c r="C299" s="43" t="s">
        <v>258</v>
      </c>
      <c r="D299" s="43" t="s">
        <v>259</v>
      </c>
      <c r="E299" s="19"/>
      <c r="F299" s="18" t="str">
        <f aca="true">IF(E299="","",TODAY()-E299)</f>
        <v/>
      </c>
      <c r="G299" s="44" t="n">
        <v>4</v>
      </c>
      <c r="H299" s="45" t="str">
        <f aca="false">IF(E299="","",E299+G299)</f>
        <v/>
      </c>
      <c r="I299" s="19"/>
      <c r="J299" s="19"/>
      <c r="K299" s="19"/>
      <c r="L299" s="26" t="s">
        <v>260</v>
      </c>
      <c r="M299" s="46" t="str">
        <f aca="false">IF(E299="","—",IF(F299&gt;=G299,"🔴 VENCIDO",IF(F299&gt;=(G299-2),"🟡 REVISAR","🟢 OK")))</f>
        <v>—</v>
      </c>
      <c r="N299" s="19"/>
    </row>
    <row r="300" customFormat="false" ht="19.5" hidden="false" customHeight="true" outlineLevel="0" collapsed="false">
      <c r="A300" s="18" t="s">
        <v>118</v>
      </c>
      <c r="B300" s="19"/>
      <c r="C300" s="43" t="s">
        <v>261</v>
      </c>
      <c r="D300" s="43" t="s">
        <v>262</v>
      </c>
      <c r="E300" s="19"/>
      <c r="F300" s="18" t="str">
        <f aca="true">IF(E300="","",TODAY()-E300)</f>
        <v/>
      </c>
      <c r="G300" s="44" t="n">
        <v>2</v>
      </c>
      <c r="H300" s="45" t="str">
        <f aca="false">IF(E300="","",E300+G300)</f>
        <v/>
      </c>
      <c r="I300" s="19"/>
      <c r="J300" s="19"/>
      <c r="K300" s="19"/>
      <c r="L300" s="26" t="s">
        <v>263</v>
      </c>
      <c r="M300" s="46" t="str">
        <f aca="false">IF(E300="","—",IF(F300&gt;=G300,"🔴 VENCIDO",IF(F300&gt;=(G300-2),"🟡 REVISAR","🟢 OK")))</f>
        <v>—</v>
      </c>
      <c r="N300" s="19"/>
    </row>
    <row r="301" customFormat="false" ht="19.5" hidden="false" customHeight="true" outlineLevel="0" collapsed="false">
      <c r="A301" s="18" t="s">
        <v>118</v>
      </c>
      <c r="B301" s="19"/>
      <c r="C301" s="43" t="s">
        <v>264</v>
      </c>
      <c r="D301" s="43" t="s">
        <v>265</v>
      </c>
      <c r="E301" s="19"/>
      <c r="F301" s="18" t="str">
        <f aca="true">IF(E301="","",TODAY()-E301)</f>
        <v/>
      </c>
      <c r="G301" s="44" t="n">
        <v>7</v>
      </c>
      <c r="H301" s="45" t="str">
        <f aca="false">IF(E301="","",E301+G301)</f>
        <v/>
      </c>
      <c r="I301" s="19"/>
      <c r="J301" s="19"/>
      <c r="K301" s="19"/>
      <c r="L301" s="26" t="s">
        <v>266</v>
      </c>
      <c r="M301" s="46" t="str">
        <f aca="false">IF(E301="","—",IF(F301&gt;=G301,"🔴 VENCIDO",IF(F301&gt;=(G301-2),"🟡 REVISAR","🟢 OK")))</f>
        <v>—</v>
      </c>
      <c r="N301" s="19"/>
    </row>
    <row r="302" customFormat="false" ht="19.5" hidden="false" customHeight="true" outlineLevel="0" collapsed="false">
      <c r="A302" s="18" t="s">
        <v>118</v>
      </c>
      <c r="B302" s="19"/>
      <c r="C302" s="43" t="s">
        <v>267</v>
      </c>
      <c r="D302" s="43" t="s">
        <v>268</v>
      </c>
      <c r="E302" s="19"/>
      <c r="F302" s="18" t="str">
        <f aca="true">IF(E302="","",TODAY()-E302)</f>
        <v/>
      </c>
      <c r="G302" s="44" t="n">
        <v>14</v>
      </c>
      <c r="H302" s="45" t="str">
        <f aca="false">IF(E302="","",E302+G302)</f>
        <v/>
      </c>
      <c r="I302" s="19"/>
      <c r="J302" s="19"/>
      <c r="K302" s="19"/>
      <c r="L302" s="26" t="s">
        <v>269</v>
      </c>
      <c r="M302" s="46" t="str">
        <f aca="false">IF(E302="","—",IF(F302&gt;=G302,"🔴 VENCIDO",IF(F302&gt;=(G302-2),"🟡 REVISAR","🟢 OK")))</f>
        <v>—</v>
      </c>
      <c r="N302" s="19"/>
    </row>
    <row r="303" customFormat="false" ht="19.5" hidden="false" customHeight="true" outlineLevel="0" collapsed="false">
      <c r="A303" s="18" t="s">
        <v>118</v>
      </c>
      <c r="B303" s="19"/>
      <c r="C303" s="43" t="s">
        <v>270</v>
      </c>
      <c r="D303" s="43" t="s">
        <v>271</v>
      </c>
      <c r="E303" s="19"/>
      <c r="F303" s="18" t="str">
        <f aca="true">IF(E303="","",TODAY()-E303)</f>
        <v/>
      </c>
      <c r="G303" s="44" t="n">
        <v>7</v>
      </c>
      <c r="H303" s="45" t="str">
        <f aca="false">IF(E303="","",E303+G303)</f>
        <v/>
      </c>
      <c r="I303" s="19"/>
      <c r="J303" s="19"/>
      <c r="K303" s="19"/>
      <c r="L303" s="26" t="s">
        <v>239</v>
      </c>
      <c r="M303" s="46" t="str">
        <f aca="false">IF(E303="","—",IF(F303&gt;=G303,"🔴 VENCIDO",IF(F303&gt;=(G303-2),"🟡 REVISAR","🟢 OK")))</f>
        <v>—</v>
      </c>
      <c r="N303" s="19"/>
    </row>
    <row r="304" customFormat="false" ht="19.5" hidden="false" customHeight="true" outlineLevel="0" collapsed="false">
      <c r="A304" s="18" t="s">
        <v>118</v>
      </c>
      <c r="B304" s="19"/>
      <c r="C304" s="43" t="s">
        <v>272</v>
      </c>
      <c r="D304" s="43" t="s">
        <v>273</v>
      </c>
      <c r="E304" s="19"/>
      <c r="F304" s="18" t="str">
        <f aca="true">IF(E304="","",TODAY()-E304)</f>
        <v/>
      </c>
      <c r="G304" s="44" t="n">
        <v>90</v>
      </c>
      <c r="H304" s="45" t="str">
        <f aca="false">IF(E304="","",E304+G304)</f>
        <v/>
      </c>
      <c r="I304" s="19"/>
      <c r="J304" s="19"/>
      <c r="K304" s="19"/>
      <c r="L304" s="26" t="s">
        <v>274</v>
      </c>
      <c r="M304" s="46" t="str">
        <f aca="false">IF(E304="","—",IF(F304&gt;=G304,"🔴 VENCIDO",IF(F304&gt;=(G304-2),"🟡 REVISAR","🟢 OK")))</f>
        <v>—</v>
      </c>
      <c r="N304" s="19"/>
    </row>
    <row r="305" customFormat="false" ht="19.5" hidden="false" customHeight="true" outlineLevel="0" collapsed="false">
      <c r="A305" s="18" t="s">
        <v>118</v>
      </c>
      <c r="B305" s="19"/>
      <c r="C305" s="43" t="s">
        <v>275</v>
      </c>
      <c r="D305" s="43" t="s">
        <v>276</v>
      </c>
      <c r="E305" s="19"/>
      <c r="F305" s="18" t="str">
        <f aca="true">IF(E305="","",TODAY()-E305)</f>
        <v/>
      </c>
      <c r="G305" s="44" t="n">
        <v>21</v>
      </c>
      <c r="H305" s="45" t="str">
        <f aca="false">IF(E305="","",E305+G305)</f>
        <v/>
      </c>
      <c r="I305" s="19"/>
      <c r="J305" s="19"/>
      <c r="K305" s="19"/>
      <c r="L305" s="26" t="s">
        <v>277</v>
      </c>
      <c r="M305" s="46" t="str">
        <f aca="false">IF(E305="","—",IF(F305&gt;=G305,"🔴 VENCIDO",IF(F305&gt;=(G305-2),"🟡 REVISAR","🟢 OK")))</f>
        <v>—</v>
      </c>
      <c r="N305" s="19"/>
    </row>
    <row r="306" customFormat="false" ht="6" hidden="false" customHeight="true" outlineLevel="0" collapsed="false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 customFormat="false" ht="19.5" hidden="false" customHeight="true" outlineLevel="0" collapsed="false">
      <c r="A307" s="18" t="s">
        <v>119</v>
      </c>
      <c r="B307" s="19"/>
      <c r="C307" s="43" t="s">
        <v>226</v>
      </c>
      <c r="D307" s="43" t="s">
        <v>227</v>
      </c>
      <c r="E307" s="19"/>
      <c r="F307" s="18" t="str">
        <f aca="true">IF(E307="","",TODAY()-E307)</f>
        <v/>
      </c>
      <c r="G307" s="44" t="n">
        <v>14</v>
      </c>
      <c r="H307" s="45" t="str">
        <f aca="false">IF(E307="","",E307+G307)</f>
        <v/>
      </c>
      <c r="I307" s="19"/>
      <c r="J307" s="19"/>
      <c r="K307" s="19"/>
      <c r="L307" s="26" t="s">
        <v>228</v>
      </c>
      <c r="M307" s="46" t="str">
        <f aca="false">IF(E307="","—",IF(F307&gt;=G307,"🔴 VENCIDO",IF(F307&gt;=(G307-2),"🟡 REVISAR","🟢 OK")))</f>
        <v>—</v>
      </c>
      <c r="N307" s="19"/>
    </row>
    <row r="308" customFormat="false" ht="19.5" hidden="false" customHeight="true" outlineLevel="0" collapsed="false">
      <c r="A308" s="18" t="s">
        <v>119</v>
      </c>
      <c r="B308" s="19"/>
      <c r="C308" s="43" t="s">
        <v>229</v>
      </c>
      <c r="D308" s="43" t="s">
        <v>230</v>
      </c>
      <c r="E308" s="19"/>
      <c r="F308" s="18" t="str">
        <f aca="true">IF(E308="","",TODAY()-E308)</f>
        <v/>
      </c>
      <c r="G308" s="44" t="n">
        <v>7</v>
      </c>
      <c r="H308" s="45" t="str">
        <f aca="false">IF(E308="","",E308+G308)</f>
        <v/>
      </c>
      <c r="I308" s="19"/>
      <c r="J308" s="19"/>
      <c r="K308" s="19"/>
      <c r="L308" s="26" t="s">
        <v>231</v>
      </c>
      <c r="M308" s="46" t="str">
        <f aca="false">IF(E308="","—",IF(F308&gt;=G308,"🔴 VENCIDO",IF(F308&gt;=(G308-2),"🟡 REVISAR","🟢 OK")))</f>
        <v>—</v>
      </c>
      <c r="N308" s="19"/>
    </row>
    <row r="309" customFormat="false" ht="19.5" hidden="false" customHeight="true" outlineLevel="0" collapsed="false">
      <c r="A309" s="18" t="s">
        <v>119</v>
      </c>
      <c r="B309" s="19"/>
      <c r="C309" s="43" t="s">
        <v>232</v>
      </c>
      <c r="D309" s="43" t="s">
        <v>233</v>
      </c>
      <c r="E309" s="19"/>
      <c r="F309" s="18" t="str">
        <f aca="true">IF(E309="","",TODAY()-E309)</f>
        <v/>
      </c>
      <c r="G309" s="44" t="n">
        <v>30</v>
      </c>
      <c r="H309" s="45" t="str">
        <f aca="false">IF(E309="","",E309+G309)</f>
        <v/>
      </c>
      <c r="I309" s="19"/>
      <c r="J309" s="19"/>
      <c r="K309" s="19"/>
      <c r="L309" s="26" t="s">
        <v>234</v>
      </c>
      <c r="M309" s="46" t="str">
        <f aca="false">IF(E309="","—",IF(F309&gt;=G309,"🔴 VENCIDO",IF(F309&gt;=(G309-2),"🟡 REVISAR","🟢 OK")))</f>
        <v>—</v>
      </c>
      <c r="N309" s="19"/>
    </row>
    <row r="310" customFormat="false" ht="19.5" hidden="false" customHeight="true" outlineLevel="0" collapsed="false">
      <c r="A310" s="18" t="s">
        <v>119</v>
      </c>
      <c r="B310" s="19"/>
      <c r="C310" s="43" t="s">
        <v>235</v>
      </c>
      <c r="D310" s="43" t="s">
        <v>236</v>
      </c>
      <c r="E310" s="19"/>
      <c r="F310" s="18" t="str">
        <f aca="true">IF(E310="","",TODAY()-E310)</f>
        <v/>
      </c>
      <c r="G310" s="44" t="n">
        <v>30</v>
      </c>
      <c r="H310" s="45" t="str">
        <f aca="false">IF(E310="","",E310+G310)</f>
        <v/>
      </c>
      <c r="I310" s="19"/>
      <c r="J310" s="19"/>
      <c r="K310" s="19"/>
      <c r="L310" s="26" t="s">
        <v>237</v>
      </c>
      <c r="M310" s="46" t="str">
        <f aca="false">IF(E310="","—",IF(F310&gt;=G310,"🔴 VENCIDO",IF(F310&gt;=(G310-2),"🟡 REVISAR","🟢 OK")))</f>
        <v>—</v>
      </c>
      <c r="N310" s="19"/>
    </row>
    <row r="311" customFormat="false" ht="19.5" hidden="false" customHeight="true" outlineLevel="0" collapsed="false">
      <c r="A311" s="18" t="s">
        <v>119</v>
      </c>
      <c r="B311" s="19"/>
      <c r="C311" s="43" t="s">
        <v>238</v>
      </c>
      <c r="D311" s="43" t="s">
        <v>236</v>
      </c>
      <c r="E311" s="19"/>
      <c r="F311" s="18" t="str">
        <f aca="true">IF(E311="","",TODAY()-E311)</f>
        <v/>
      </c>
      <c r="G311" s="44" t="n">
        <v>14</v>
      </c>
      <c r="H311" s="45" t="str">
        <f aca="false">IF(E311="","",E311+G311)</f>
        <v/>
      </c>
      <c r="I311" s="19"/>
      <c r="J311" s="19"/>
      <c r="K311" s="19"/>
      <c r="L311" s="26" t="s">
        <v>239</v>
      </c>
      <c r="M311" s="46" t="str">
        <f aca="false">IF(E311="","—",IF(F311&gt;=G311,"🔴 VENCIDO",IF(F311&gt;=(G311-2),"🟡 REVISAR","🟢 OK")))</f>
        <v>—</v>
      </c>
      <c r="N311" s="19"/>
    </row>
    <row r="312" customFormat="false" ht="19.5" hidden="false" customHeight="true" outlineLevel="0" collapsed="false">
      <c r="A312" s="18" t="s">
        <v>119</v>
      </c>
      <c r="B312" s="19"/>
      <c r="C312" s="43" t="s">
        <v>240</v>
      </c>
      <c r="D312" s="43" t="s">
        <v>241</v>
      </c>
      <c r="E312" s="19"/>
      <c r="F312" s="18" t="str">
        <f aca="true">IF(E312="","",TODAY()-E312)</f>
        <v/>
      </c>
      <c r="G312" s="44" t="n">
        <v>21</v>
      </c>
      <c r="H312" s="45" t="str">
        <f aca="false">IF(E312="","",E312+G312)</f>
        <v/>
      </c>
      <c r="I312" s="19"/>
      <c r="J312" s="19"/>
      <c r="K312" s="19"/>
      <c r="L312" s="26" t="s">
        <v>242</v>
      </c>
      <c r="M312" s="46" t="str">
        <f aca="false">IF(E312="","—",IF(F312&gt;=G312,"🔴 VENCIDO",IF(F312&gt;=(G312-2),"🟡 REVISAR","🟢 OK")))</f>
        <v>—</v>
      </c>
      <c r="N312" s="19"/>
    </row>
    <row r="313" customFormat="false" ht="19.5" hidden="false" customHeight="true" outlineLevel="0" collapsed="false">
      <c r="A313" s="18" t="s">
        <v>119</v>
      </c>
      <c r="B313" s="19"/>
      <c r="C313" s="43" t="s">
        <v>243</v>
      </c>
      <c r="D313" s="43" t="s">
        <v>244</v>
      </c>
      <c r="E313" s="19"/>
      <c r="F313" s="18" t="str">
        <f aca="true">IF(E313="","",TODAY()-E313)</f>
        <v/>
      </c>
      <c r="G313" s="44" t="n">
        <v>30</v>
      </c>
      <c r="H313" s="45" t="str">
        <f aca="false">IF(E313="","",E313+G313)</f>
        <v/>
      </c>
      <c r="I313" s="19"/>
      <c r="J313" s="19"/>
      <c r="K313" s="19"/>
      <c r="L313" s="26" t="s">
        <v>245</v>
      </c>
      <c r="M313" s="46" t="str">
        <f aca="false">IF(E313="","—",IF(F313&gt;=G313,"🔴 VENCIDO",IF(F313&gt;=(G313-2),"🟡 REVISAR","🟢 OK")))</f>
        <v>—</v>
      </c>
      <c r="N313" s="19"/>
    </row>
    <row r="314" customFormat="false" ht="19.5" hidden="false" customHeight="true" outlineLevel="0" collapsed="false">
      <c r="A314" s="18" t="s">
        <v>119</v>
      </c>
      <c r="B314" s="19"/>
      <c r="C314" s="43" t="s">
        <v>246</v>
      </c>
      <c r="D314" s="43" t="s">
        <v>247</v>
      </c>
      <c r="E314" s="19"/>
      <c r="F314" s="18" t="str">
        <f aca="true">IF(E314="","",TODAY()-E314)</f>
        <v/>
      </c>
      <c r="G314" s="44" t="n">
        <v>14</v>
      </c>
      <c r="H314" s="45" t="str">
        <f aca="false">IF(E314="","",E314+G314)</f>
        <v/>
      </c>
      <c r="I314" s="19"/>
      <c r="J314" s="19"/>
      <c r="K314" s="19"/>
      <c r="L314" s="26" t="s">
        <v>248</v>
      </c>
      <c r="M314" s="46" t="str">
        <f aca="false">IF(E314="","—",IF(F314&gt;=G314,"🔴 VENCIDO",IF(F314&gt;=(G314-2),"🟡 REVISAR","🟢 OK")))</f>
        <v>—</v>
      </c>
      <c r="N314" s="19"/>
    </row>
    <row r="315" customFormat="false" ht="19.5" hidden="false" customHeight="true" outlineLevel="0" collapsed="false">
      <c r="A315" s="18" t="s">
        <v>119</v>
      </c>
      <c r="B315" s="19"/>
      <c r="C315" s="43" t="s">
        <v>249</v>
      </c>
      <c r="D315" s="43" t="s">
        <v>250</v>
      </c>
      <c r="E315" s="19"/>
      <c r="F315" s="18" t="str">
        <f aca="true">IF(E315="","",TODAY()-E315)</f>
        <v/>
      </c>
      <c r="G315" s="44" t="n">
        <v>14</v>
      </c>
      <c r="H315" s="45" t="str">
        <f aca="false">IF(E315="","",E315+G315)</f>
        <v/>
      </c>
      <c r="I315" s="19"/>
      <c r="J315" s="19"/>
      <c r="K315" s="19"/>
      <c r="L315" s="26" t="s">
        <v>251</v>
      </c>
      <c r="M315" s="46" t="str">
        <f aca="false">IF(E315="","—",IF(F315&gt;=G315,"🔴 VENCIDO",IF(F315&gt;=(G315-2),"🟡 REVISAR","🟢 OK")))</f>
        <v>—</v>
      </c>
      <c r="N315" s="19"/>
    </row>
    <row r="316" customFormat="false" ht="19.5" hidden="false" customHeight="true" outlineLevel="0" collapsed="false">
      <c r="A316" s="18" t="s">
        <v>119</v>
      </c>
      <c r="B316" s="19"/>
      <c r="C316" s="43" t="s">
        <v>252</v>
      </c>
      <c r="D316" s="43" t="s">
        <v>253</v>
      </c>
      <c r="E316" s="19"/>
      <c r="F316" s="18" t="str">
        <f aca="true">IF(E316="","",TODAY()-E316)</f>
        <v/>
      </c>
      <c r="G316" s="44" t="n">
        <v>14</v>
      </c>
      <c r="H316" s="45" t="str">
        <f aca="false">IF(E316="","",E316+G316)</f>
        <v/>
      </c>
      <c r="I316" s="19"/>
      <c r="J316" s="19"/>
      <c r="K316" s="19"/>
      <c r="L316" s="26" t="s">
        <v>254</v>
      </c>
      <c r="M316" s="46" t="str">
        <f aca="false">IF(E316="","—",IF(F316&gt;=G316,"🔴 VENCIDO",IF(F316&gt;=(G316-2),"🟡 REVISAR","🟢 OK")))</f>
        <v>—</v>
      </c>
      <c r="N316" s="19"/>
    </row>
    <row r="317" customFormat="false" ht="19.5" hidden="false" customHeight="true" outlineLevel="0" collapsed="false">
      <c r="A317" s="18" t="s">
        <v>119</v>
      </c>
      <c r="B317" s="19"/>
      <c r="C317" s="43" t="s">
        <v>255</v>
      </c>
      <c r="D317" s="43" t="s">
        <v>256</v>
      </c>
      <c r="E317" s="19"/>
      <c r="F317" s="18" t="str">
        <f aca="true">IF(E317="","",TODAY()-E317)</f>
        <v/>
      </c>
      <c r="G317" s="44" t="n">
        <v>90</v>
      </c>
      <c r="H317" s="45" t="str">
        <f aca="false">IF(E317="","",E317+G317)</f>
        <v/>
      </c>
      <c r="I317" s="19"/>
      <c r="J317" s="19"/>
      <c r="K317" s="19"/>
      <c r="L317" s="26" t="s">
        <v>257</v>
      </c>
      <c r="M317" s="46" t="str">
        <f aca="false">IF(E317="","—",IF(F317&gt;=G317,"🔴 VENCIDO",IF(F317&gt;=(G317-2),"🟡 REVISAR","🟢 OK")))</f>
        <v>—</v>
      </c>
      <c r="N317" s="19"/>
    </row>
    <row r="318" customFormat="false" ht="19.5" hidden="false" customHeight="true" outlineLevel="0" collapsed="false">
      <c r="A318" s="18" t="s">
        <v>119</v>
      </c>
      <c r="B318" s="19"/>
      <c r="C318" s="43" t="s">
        <v>258</v>
      </c>
      <c r="D318" s="43" t="s">
        <v>259</v>
      </c>
      <c r="E318" s="19"/>
      <c r="F318" s="18" t="str">
        <f aca="true">IF(E318="","",TODAY()-E318)</f>
        <v/>
      </c>
      <c r="G318" s="44" t="n">
        <v>4</v>
      </c>
      <c r="H318" s="45" t="str">
        <f aca="false">IF(E318="","",E318+G318)</f>
        <v/>
      </c>
      <c r="I318" s="19"/>
      <c r="J318" s="19"/>
      <c r="K318" s="19"/>
      <c r="L318" s="26" t="s">
        <v>260</v>
      </c>
      <c r="M318" s="46" t="str">
        <f aca="false">IF(E318="","—",IF(F318&gt;=G318,"🔴 VENCIDO",IF(F318&gt;=(G318-2),"🟡 REVISAR","🟢 OK")))</f>
        <v>—</v>
      </c>
      <c r="N318" s="19"/>
    </row>
    <row r="319" customFormat="false" ht="19.5" hidden="false" customHeight="true" outlineLevel="0" collapsed="false">
      <c r="A319" s="18" t="s">
        <v>119</v>
      </c>
      <c r="B319" s="19"/>
      <c r="C319" s="43" t="s">
        <v>261</v>
      </c>
      <c r="D319" s="43" t="s">
        <v>262</v>
      </c>
      <c r="E319" s="19"/>
      <c r="F319" s="18" t="str">
        <f aca="true">IF(E319="","",TODAY()-E319)</f>
        <v/>
      </c>
      <c r="G319" s="44" t="n">
        <v>2</v>
      </c>
      <c r="H319" s="45" t="str">
        <f aca="false">IF(E319="","",E319+G319)</f>
        <v/>
      </c>
      <c r="I319" s="19"/>
      <c r="J319" s="19"/>
      <c r="K319" s="19"/>
      <c r="L319" s="26" t="s">
        <v>263</v>
      </c>
      <c r="M319" s="46" t="str">
        <f aca="false">IF(E319="","—",IF(F319&gt;=G319,"🔴 VENCIDO",IF(F319&gt;=(G319-2),"🟡 REVISAR","🟢 OK")))</f>
        <v>—</v>
      </c>
      <c r="N319" s="19"/>
    </row>
    <row r="320" customFormat="false" ht="19.5" hidden="false" customHeight="true" outlineLevel="0" collapsed="false">
      <c r="A320" s="18" t="s">
        <v>119</v>
      </c>
      <c r="B320" s="19"/>
      <c r="C320" s="43" t="s">
        <v>264</v>
      </c>
      <c r="D320" s="43" t="s">
        <v>265</v>
      </c>
      <c r="E320" s="19"/>
      <c r="F320" s="18" t="str">
        <f aca="true">IF(E320="","",TODAY()-E320)</f>
        <v/>
      </c>
      <c r="G320" s="44" t="n">
        <v>7</v>
      </c>
      <c r="H320" s="45" t="str">
        <f aca="false">IF(E320="","",E320+G320)</f>
        <v/>
      </c>
      <c r="I320" s="19"/>
      <c r="J320" s="19"/>
      <c r="K320" s="19"/>
      <c r="L320" s="26" t="s">
        <v>266</v>
      </c>
      <c r="M320" s="46" t="str">
        <f aca="false">IF(E320="","—",IF(F320&gt;=G320,"🔴 VENCIDO",IF(F320&gt;=(G320-2),"🟡 REVISAR","🟢 OK")))</f>
        <v>—</v>
      </c>
      <c r="N320" s="19"/>
    </row>
    <row r="321" customFormat="false" ht="19.5" hidden="false" customHeight="true" outlineLevel="0" collapsed="false">
      <c r="A321" s="18" t="s">
        <v>119</v>
      </c>
      <c r="B321" s="19"/>
      <c r="C321" s="43" t="s">
        <v>267</v>
      </c>
      <c r="D321" s="43" t="s">
        <v>268</v>
      </c>
      <c r="E321" s="19"/>
      <c r="F321" s="18" t="str">
        <f aca="true">IF(E321="","",TODAY()-E321)</f>
        <v/>
      </c>
      <c r="G321" s="44" t="n">
        <v>14</v>
      </c>
      <c r="H321" s="45" t="str">
        <f aca="false">IF(E321="","",E321+G321)</f>
        <v/>
      </c>
      <c r="I321" s="19"/>
      <c r="J321" s="19"/>
      <c r="K321" s="19"/>
      <c r="L321" s="26" t="s">
        <v>269</v>
      </c>
      <c r="M321" s="46" t="str">
        <f aca="false">IF(E321="","—",IF(F321&gt;=G321,"🔴 VENCIDO",IF(F321&gt;=(G321-2),"🟡 REVISAR","🟢 OK")))</f>
        <v>—</v>
      </c>
      <c r="N321" s="19"/>
    </row>
    <row r="322" customFormat="false" ht="19.5" hidden="false" customHeight="true" outlineLevel="0" collapsed="false">
      <c r="A322" s="18" t="s">
        <v>119</v>
      </c>
      <c r="B322" s="19"/>
      <c r="C322" s="43" t="s">
        <v>270</v>
      </c>
      <c r="D322" s="43" t="s">
        <v>271</v>
      </c>
      <c r="E322" s="19"/>
      <c r="F322" s="18" t="str">
        <f aca="true">IF(E322="","",TODAY()-E322)</f>
        <v/>
      </c>
      <c r="G322" s="44" t="n">
        <v>7</v>
      </c>
      <c r="H322" s="45" t="str">
        <f aca="false">IF(E322="","",E322+G322)</f>
        <v/>
      </c>
      <c r="I322" s="19"/>
      <c r="J322" s="19"/>
      <c r="K322" s="19"/>
      <c r="L322" s="26" t="s">
        <v>239</v>
      </c>
      <c r="M322" s="46" t="str">
        <f aca="false">IF(E322="","—",IF(F322&gt;=G322,"🔴 VENCIDO",IF(F322&gt;=(G322-2),"🟡 REVISAR","🟢 OK")))</f>
        <v>—</v>
      </c>
      <c r="N322" s="19"/>
    </row>
    <row r="323" customFormat="false" ht="19.5" hidden="false" customHeight="true" outlineLevel="0" collapsed="false">
      <c r="A323" s="18" t="s">
        <v>119</v>
      </c>
      <c r="B323" s="19"/>
      <c r="C323" s="43" t="s">
        <v>272</v>
      </c>
      <c r="D323" s="43" t="s">
        <v>273</v>
      </c>
      <c r="E323" s="19"/>
      <c r="F323" s="18" t="str">
        <f aca="true">IF(E323="","",TODAY()-E323)</f>
        <v/>
      </c>
      <c r="G323" s="44" t="n">
        <v>90</v>
      </c>
      <c r="H323" s="45" t="str">
        <f aca="false">IF(E323="","",E323+G323)</f>
        <v/>
      </c>
      <c r="I323" s="19"/>
      <c r="J323" s="19"/>
      <c r="K323" s="19"/>
      <c r="L323" s="26" t="s">
        <v>274</v>
      </c>
      <c r="M323" s="46" t="str">
        <f aca="false">IF(E323="","—",IF(F323&gt;=G323,"🔴 VENCIDO",IF(F323&gt;=(G323-2),"🟡 REVISAR","🟢 OK")))</f>
        <v>—</v>
      </c>
      <c r="N323" s="19"/>
    </row>
    <row r="324" customFormat="false" ht="19.5" hidden="false" customHeight="true" outlineLevel="0" collapsed="false">
      <c r="A324" s="18" t="s">
        <v>119</v>
      </c>
      <c r="B324" s="19"/>
      <c r="C324" s="43" t="s">
        <v>275</v>
      </c>
      <c r="D324" s="43" t="s">
        <v>276</v>
      </c>
      <c r="E324" s="19"/>
      <c r="F324" s="18" t="str">
        <f aca="true">IF(E324="","",TODAY()-E324)</f>
        <v/>
      </c>
      <c r="G324" s="44" t="n">
        <v>21</v>
      </c>
      <c r="H324" s="45" t="str">
        <f aca="false">IF(E324="","",E324+G324)</f>
        <v/>
      </c>
      <c r="I324" s="19"/>
      <c r="J324" s="19"/>
      <c r="K324" s="19"/>
      <c r="L324" s="26" t="s">
        <v>277</v>
      </c>
      <c r="M324" s="46" t="str">
        <f aca="false">IF(E324="","—",IF(F324&gt;=G324,"🔴 VENCIDO",IF(F324&gt;=(G324-2),"🟡 REVISAR","🟢 OK")))</f>
        <v>—</v>
      </c>
      <c r="N324" s="19"/>
    </row>
    <row r="325" customFormat="false" ht="6" hidden="false" customHeight="true" outlineLevel="0" collapsed="false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 customFormat="false" ht="19.5" hidden="false" customHeight="true" outlineLevel="0" collapsed="false">
      <c r="A326" s="18" t="s">
        <v>120</v>
      </c>
      <c r="B326" s="19"/>
      <c r="C326" s="43" t="s">
        <v>226</v>
      </c>
      <c r="D326" s="43" t="s">
        <v>227</v>
      </c>
      <c r="E326" s="19"/>
      <c r="F326" s="18" t="str">
        <f aca="true">IF(E326="","",TODAY()-E326)</f>
        <v/>
      </c>
      <c r="G326" s="44" t="n">
        <v>14</v>
      </c>
      <c r="H326" s="45" t="str">
        <f aca="false">IF(E326="","",E326+G326)</f>
        <v/>
      </c>
      <c r="I326" s="19"/>
      <c r="J326" s="19"/>
      <c r="K326" s="19"/>
      <c r="L326" s="26" t="s">
        <v>228</v>
      </c>
      <c r="M326" s="46" t="str">
        <f aca="false">IF(E326="","—",IF(F326&gt;=G326,"🔴 VENCIDO",IF(F326&gt;=(G326-2),"🟡 REVISAR","🟢 OK")))</f>
        <v>—</v>
      </c>
      <c r="N326" s="19"/>
    </row>
    <row r="327" customFormat="false" ht="19.5" hidden="false" customHeight="true" outlineLevel="0" collapsed="false">
      <c r="A327" s="18" t="s">
        <v>120</v>
      </c>
      <c r="B327" s="19"/>
      <c r="C327" s="43" t="s">
        <v>229</v>
      </c>
      <c r="D327" s="43" t="s">
        <v>230</v>
      </c>
      <c r="E327" s="19"/>
      <c r="F327" s="18" t="str">
        <f aca="true">IF(E327="","",TODAY()-E327)</f>
        <v/>
      </c>
      <c r="G327" s="44" t="n">
        <v>7</v>
      </c>
      <c r="H327" s="45" t="str">
        <f aca="false">IF(E327="","",E327+G327)</f>
        <v/>
      </c>
      <c r="I327" s="19"/>
      <c r="J327" s="19"/>
      <c r="K327" s="19"/>
      <c r="L327" s="26" t="s">
        <v>231</v>
      </c>
      <c r="M327" s="46" t="str">
        <f aca="false">IF(E327="","—",IF(F327&gt;=G327,"🔴 VENCIDO",IF(F327&gt;=(G327-2),"🟡 REVISAR","🟢 OK")))</f>
        <v>—</v>
      </c>
      <c r="N327" s="19"/>
    </row>
    <row r="328" customFormat="false" ht="19.5" hidden="false" customHeight="true" outlineLevel="0" collapsed="false">
      <c r="A328" s="18" t="s">
        <v>120</v>
      </c>
      <c r="B328" s="19"/>
      <c r="C328" s="43" t="s">
        <v>232</v>
      </c>
      <c r="D328" s="43" t="s">
        <v>233</v>
      </c>
      <c r="E328" s="19"/>
      <c r="F328" s="18" t="str">
        <f aca="true">IF(E328="","",TODAY()-E328)</f>
        <v/>
      </c>
      <c r="G328" s="44" t="n">
        <v>30</v>
      </c>
      <c r="H328" s="45" t="str">
        <f aca="false">IF(E328="","",E328+G328)</f>
        <v/>
      </c>
      <c r="I328" s="19"/>
      <c r="J328" s="19"/>
      <c r="K328" s="19"/>
      <c r="L328" s="26" t="s">
        <v>234</v>
      </c>
      <c r="M328" s="46" t="str">
        <f aca="false">IF(E328="","—",IF(F328&gt;=G328,"🔴 VENCIDO",IF(F328&gt;=(G328-2),"🟡 REVISAR","🟢 OK")))</f>
        <v>—</v>
      </c>
      <c r="N328" s="19"/>
    </row>
    <row r="329" customFormat="false" ht="19.5" hidden="false" customHeight="true" outlineLevel="0" collapsed="false">
      <c r="A329" s="18" t="s">
        <v>120</v>
      </c>
      <c r="B329" s="19"/>
      <c r="C329" s="43" t="s">
        <v>235</v>
      </c>
      <c r="D329" s="43" t="s">
        <v>236</v>
      </c>
      <c r="E329" s="19"/>
      <c r="F329" s="18" t="str">
        <f aca="true">IF(E329="","",TODAY()-E329)</f>
        <v/>
      </c>
      <c r="G329" s="44" t="n">
        <v>30</v>
      </c>
      <c r="H329" s="45" t="str">
        <f aca="false">IF(E329="","",E329+G329)</f>
        <v/>
      </c>
      <c r="I329" s="19"/>
      <c r="J329" s="19"/>
      <c r="K329" s="19"/>
      <c r="L329" s="26" t="s">
        <v>237</v>
      </c>
      <c r="M329" s="46" t="str">
        <f aca="false">IF(E329="","—",IF(F329&gt;=G329,"🔴 VENCIDO",IF(F329&gt;=(G329-2),"🟡 REVISAR","🟢 OK")))</f>
        <v>—</v>
      </c>
      <c r="N329" s="19"/>
    </row>
    <row r="330" customFormat="false" ht="19.5" hidden="false" customHeight="true" outlineLevel="0" collapsed="false">
      <c r="A330" s="18" t="s">
        <v>120</v>
      </c>
      <c r="B330" s="19"/>
      <c r="C330" s="43" t="s">
        <v>238</v>
      </c>
      <c r="D330" s="43" t="s">
        <v>236</v>
      </c>
      <c r="E330" s="19"/>
      <c r="F330" s="18" t="str">
        <f aca="true">IF(E330="","",TODAY()-E330)</f>
        <v/>
      </c>
      <c r="G330" s="44" t="n">
        <v>14</v>
      </c>
      <c r="H330" s="45" t="str">
        <f aca="false">IF(E330="","",E330+G330)</f>
        <v/>
      </c>
      <c r="I330" s="19"/>
      <c r="J330" s="19"/>
      <c r="K330" s="19"/>
      <c r="L330" s="26" t="s">
        <v>239</v>
      </c>
      <c r="M330" s="46" t="str">
        <f aca="false">IF(E330="","—",IF(F330&gt;=G330,"🔴 VENCIDO",IF(F330&gt;=(G330-2),"🟡 REVISAR","🟢 OK")))</f>
        <v>—</v>
      </c>
      <c r="N330" s="19"/>
    </row>
    <row r="331" customFormat="false" ht="19.5" hidden="false" customHeight="true" outlineLevel="0" collapsed="false">
      <c r="A331" s="18" t="s">
        <v>120</v>
      </c>
      <c r="B331" s="19"/>
      <c r="C331" s="43" t="s">
        <v>240</v>
      </c>
      <c r="D331" s="43" t="s">
        <v>241</v>
      </c>
      <c r="E331" s="19"/>
      <c r="F331" s="18" t="str">
        <f aca="true">IF(E331="","",TODAY()-E331)</f>
        <v/>
      </c>
      <c r="G331" s="44" t="n">
        <v>21</v>
      </c>
      <c r="H331" s="45" t="str">
        <f aca="false">IF(E331="","",E331+G331)</f>
        <v/>
      </c>
      <c r="I331" s="19"/>
      <c r="J331" s="19"/>
      <c r="K331" s="19"/>
      <c r="L331" s="26" t="s">
        <v>242</v>
      </c>
      <c r="M331" s="46" t="str">
        <f aca="false">IF(E331="","—",IF(F331&gt;=G331,"🔴 VENCIDO",IF(F331&gt;=(G331-2),"🟡 REVISAR","🟢 OK")))</f>
        <v>—</v>
      </c>
      <c r="N331" s="19"/>
    </row>
    <row r="332" customFormat="false" ht="19.5" hidden="false" customHeight="true" outlineLevel="0" collapsed="false">
      <c r="A332" s="18" t="s">
        <v>120</v>
      </c>
      <c r="B332" s="19"/>
      <c r="C332" s="43" t="s">
        <v>243</v>
      </c>
      <c r="D332" s="43" t="s">
        <v>244</v>
      </c>
      <c r="E332" s="19"/>
      <c r="F332" s="18" t="str">
        <f aca="true">IF(E332="","",TODAY()-E332)</f>
        <v/>
      </c>
      <c r="G332" s="44" t="n">
        <v>30</v>
      </c>
      <c r="H332" s="45" t="str">
        <f aca="false">IF(E332="","",E332+G332)</f>
        <v/>
      </c>
      <c r="I332" s="19"/>
      <c r="J332" s="19"/>
      <c r="K332" s="19"/>
      <c r="L332" s="26" t="s">
        <v>245</v>
      </c>
      <c r="M332" s="46" t="str">
        <f aca="false">IF(E332="","—",IF(F332&gt;=G332,"🔴 VENCIDO",IF(F332&gt;=(G332-2),"🟡 REVISAR","🟢 OK")))</f>
        <v>—</v>
      </c>
      <c r="N332" s="19"/>
    </row>
    <row r="333" customFormat="false" ht="19.5" hidden="false" customHeight="true" outlineLevel="0" collapsed="false">
      <c r="A333" s="18" t="s">
        <v>120</v>
      </c>
      <c r="B333" s="19"/>
      <c r="C333" s="43" t="s">
        <v>246</v>
      </c>
      <c r="D333" s="43" t="s">
        <v>247</v>
      </c>
      <c r="E333" s="19"/>
      <c r="F333" s="18" t="str">
        <f aca="true">IF(E333="","",TODAY()-E333)</f>
        <v/>
      </c>
      <c r="G333" s="44" t="n">
        <v>14</v>
      </c>
      <c r="H333" s="45" t="str">
        <f aca="false">IF(E333="","",E333+G333)</f>
        <v/>
      </c>
      <c r="I333" s="19"/>
      <c r="J333" s="19"/>
      <c r="K333" s="19"/>
      <c r="L333" s="26" t="s">
        <v>248</v>
      </c>
      <c r="M333" s="46" t="str">
        <f aca="false">IF(E333="","—",IF(F333&gt;=G333,"🔴 VENCIDO",IF(F333&gt;=(G333-2),"🟡 REVISAR","🟢 OK")))</f>
        <v>—</v>
      </c>
      <c r="N333" s="19"/>
    </row>
    <row r="334" customFormat="false" ht="19.5" hidden="false" customHeight="true" outlineLevel="0" collapsed="false">
      <c r="A334" s="18" t="s">
        <v>120</v>
      </c>
      <c r="B334" s="19"/>
      <c r="C334" s="43" t="s">
        <v>249</v>
      </c>
      <c r="D334" s="43" t="s">
        <v>250</v>
      </c>
      <c r="E334" s="19"/>
      <c r="F334" s="18" t="str">
        <f aca="true">IF(E334="","",TODAY()-E334)</f>
        <v/>
      </c>
      <c r="G334" s="44" t="n">
        <v>14</v>
      </c>
      <c r="H334" s="45" t="str">
        <f aca="false">IF(E334="","",E334+G334)</f>
        <v/>
      </c>
      <c r="I334" s="19"/>
      <c r="J334" s="19"/>
      <c r="K334" s="19"/>
      <c r="L334" s="26" t="s">
        <v>251</v>
      </c>
      <c r="M334" s="46" t="str">
        <f aca="false">IF(E334="","—",IF(F334&gt;=G334,"🔴 VENCIDO",IF(F334&gt;=(G334-2),"🟡 REVISAR","🟢 OK")))</f>
        <v>—</v>
      </c>
      <c r="N334" s="19"/>
    </row>
    <row r="335" customFormat="false" ht="19.5" hidden="false" customHeight="true" outlineLevel="0" collapsed="false">
      <c r="A335" s="18" t="s">
        <v>120</v>
      </c>
      <c r="B335" s="19"/>
      <c r="C335" s="43" t="s">
        <v>252</v>
      </c>
      <c r="D335" s="43" t="s">
        <v>253</v>
      </c>
      <c r="E335" s="19"/>
      <c r="F335" s="18" t="str">
        <f aca="true">IF(E335="","",TODAY()-E335)</f>
        <v/>
      </c>
      <c r="G335" s="44" t="n">
        <v>14</v>
      </c>
      <c r="H335" s="45" t="str">
        <f aca="false">IF(E335="","",E335+G335)</f>
        <v/>
      </c>
      <c r="I335" s="19"/>
      <c r="J335" s="19"/>
      <c r="K335" s="19"/>
      <c r="L335" s="26" t="s">
        <v>254</v>
      </c>
      <c r="M335" s="46" t="str">
        <f aca="false">IF(E335="","—",IF(F335&gt;=G335,"🔴 VENCIDO",IF(F335&gt;=(G335-2),"🟡 REVISAR","🟢 OK")))</f>
        <v>—</v>
      </c>
      <c r="N335" s="19"/>
    </row>
    <row r="336" customFormat="false" ht="19.5" hidden="false" customHeight="true" outlineLevel="0" collapsed="false">
      <c r="A336" s="18" t="s">
        <v>120</v>
      </c>
      <c r="B336" s="19"/>
      <c r="C336" s="43" t="s">
        <v>255</v>
      </c>
      <c r="D336" s="43" t="s">
        <v>256</v>
      </c>
      <c r="E336" s="19"/>
      <c r="F336" s="18" t="str">
        <f aca="true">IF(E336="","",TODAY()-E336)</f>
        <v/>
      </c>
      <c r="G336" s="44" t="n">
        <v>90</v>
      </c>
      <c r="H336" s="45" t="str">
        <f aca="false">IF(E336="","",E336+G336)</f>
        <v/>
      </c>
      <c r="I336" s="19"/>
      <c r="J336" s="19"/>
      <c r="K336" s="19"/>
      <c r="L336" s="26" t="s">
        <v>257</v>
      </c>
      <c r="M336" s="46" t="str">
        <f aca="false">IF(E336="","—",IF(F336&gt;=G336,"🔴 VENCIDO",IF(F336&gt;=(G336-2),"🟡 REVISAR","🟢 OK")))</f>
        <v>—</v>
      </c>
      <c r="N336" s="19"/>
    </row>
    <row r="337" customFormat="false" ht="19.5" hidden="false" customHeight="true" outlineLevel="0" collapsed="false">
      <c r="A337" s="18" t="s">
        <v>120</v>
      </c>
      <c r="B337" s="19"/>
      <c r="C337" s="43" t="s">
        <v>258</v>
      </c>
      <c r="D337" s="43" t="s">
        <v>259</v>
      </c>
      <c r="E337" s="19"/>
      <c r="F337" s="18" t="str">
        <f aca="true">IF(E337="","",TODAY()-E337)</f>
        <v/>
      </c>
      <c r="G337" s="44" t="n">
        <v>4</v>
      </c>
      <c r="H337" s="45" t="str">
        <f aca="false">IF(E337="","",E337+G337)</f>
        <v/>
      </c>
      <c r="I337" s="19"/>
      <c r="J337" s="19"/>
      <c r="K337" s="19"/>
      <c r="L337" s="26" t="s">
        <v>260</v>
      </c>
      <c r="M337" s="46" t="str">
        <f aca="false">IF(E337="","—",IF(F337&gt;=G337,"🔴 VENCIDO",IF(F337&gt;=(G337-2),"🟡 REVISAR","🟢 OK")))</f>
        <v>—</v>
      </c>
      <c r="N337" s="19"/>
    </row>
    <row r="338" customFormat="false" ht="19.5" hidden="false" customHeight="true" outlineLevel="0" collapsed="false">
      <c r="A338" s="18" t="s">
        <v>120</v>
      </c>
      <c r="B338" s="19"/>
      <c r="C338" s="43" t="s">
        <v>261</v>
      </c>
      <c r="D338" s="43" t="s">
        <v>262</v>
      </c>
      <c r="E338" s="19"/>
      <c r="F338" s="18" t="str">
        <f aca="true">IF(E338="","",TODAY()-E338)</f>
        <v/>
      </c>
      <c r="G338" s="44" t="n">
        <v>2</v>
      </c>
      <c r="H338" s="45" t="str">
        <f aca="false">IF(E338="","",E338+G338)</f>
        <v/>
      </c>
      <c r="I338" s="19"/>
      <c r="J338" s="19"/>
      <c r="K338" s="19"/>
      <c r="L338" s="26" t="s">
        <v>263</v>
      </c>
      <c r="M338" s="46" t="str">
        <f aca="false">IF(E338="","—",IF(F338&gt;=G338,"🔴 VENCIDO",IF(F338&gt;=(G338-2),"🟡 REVISAR","🟢 OK")))</f>
        <v>—</v>
      </c>
      <c r="N338" s="19"/>
    </row>
    <row r="339" customFormat="false" ht="19.5" hidden="false" customHeight="true" outlineLevel="0" collapsed="false">
      <c r="A339" s="18" t="s">
        <v>120</v>
      </c>
      <c r="B339" s="19"/>
      <c r="C339" s="43" t="s">
        <v>264</v>
      </c>
      <c r="D339" s="43" t="s">
        <v>265</v>
      </c>
      <c r="E339" s="19"/>
      <c r="F339" s="18" t="str">
        <f aca="true">IF(E339="","",TODAY()-E339)</f>
        <v/>
      </c>
      <c r="G339" s="44" t="n">
        <v>7</v>
      </c>
      <c r="H339" s="45" t="str">
        <f aca="false">IF(E339="","",E339+G339)</f>
        <v/>
      </c>
      <c r="I339" s="19"/>
      <c r="J339" s="19"/>
      <c r="K339" s="19"/>
      <c r="L339" s="26" t="s">
        <v>266</v>
      </c>
      <c r="M339" s="46" t="str">
        <f aca="false">IF(E339="","—",IF(F339&gt;=G339,"🔴 VENCIDO",IF(F339&gt;=(G339-2),"🟡 REVISAR","🟢 OK")))</f>
        <v>—</v>
      </c>
      <c r="N339" s="19"/>
    </row>
    <row r="340" customFormat="false" ht="19.5" hidden="false" customHeight="true" outlineLevel="0" collapsed="false">
      <c r="A340" s="18" t="s">
        <v>120</v>
      </c>
      <c r="B340" s="19"/>
      <c r="C340" s="43" t="s">
        <v>267</v>
      </c>
      <c r="D340" s="43" t="s">
        <v>268</v>
      </c>
      <c r="E340" s="19"/>
      <c r="F340" s="18" t="str">
        <f aca="true">IF(E340="","",TODAY()-E340)</f>
        <v/>
      </c>
      <c r="G340" s="44" t="n">
        <v>14</v>
      </c>
      <c r="H340" s="45" t="str">
        <f aca="false">IF(E340="","",E340+G340)</f>
        <v/>
      </c>
      <c r="I340" s="19"/>
      <c r="J340" s="19"/>
      <c r="K340" s="19"/>
      <c r="L340" s="26" t="s">
        <v>269</v>
      </c>
      <c r="M340" s="46" t="str">
        <f aca="false">IF(E340="","—",IF(F340&gt;=G340,"🔴 VENCIDO",IF(F340&gt;=(G340-2),"🟡 REVISAR","🟢 OK")))</f>
        <v>—</v>
      </c>
      <c r="N340" s="19"/>
    </row>
    <row r="341" customFormat="false" ht="19.5" hidden="false" customHeight="true" outlineLevel="0" collapsed="false">
      <c r="A341" s="18" t="s">
        <v>120</v>
      </c>
      <c r="B341" s="19"/>
      <c r="C341" s="43" t="s">
        <v>270</v>
      </c>
      <c r="D341" s="43" t="s">
        <v>271</v>
      </c>
      <c r="E341" s="19"/>
      <c r="F341" s="18" t="str">
        <f aca="true">IF(E341="","",TODAY()-E341)</f>
        <v/>
      </c>
      <c r="G341" s="44" t="n">
        <v>7</v>
      </c>
      <c r="H341" s="45" t="str">
        <f aca="false">IF(E341="","",E341+G341)</f>
        <v/>
      </c>
      <c r="I341" s="19"/>
      <c r="J341" s="19"/>
      <c r="K341" s="19"/>
      <c r="L341" s="26" t="s">
        <v>239</v>
      </c>
      <c r="M341" s="46" t="str">
        <f aca="false">IF(E341="","—",IF(F341&gt;=G341,"🔴 VENCIDO",IF(F341&gt;=(G341-2),"🟡 REVISAR","🟢 OK")))</f>
        <v>—</v>
      </c>
      <c r="N341" s="19"/>
    </row>
    <row r="342" customFormat="false" ht="19.5" hidden="false" customHeight="true" outlineLevel="0" collapsed="false">
      <c r="A342" s="18" t="s">
        <v>120</v>
      </c>
      <c r="B342" s="19"/>
      <c r="C342" s="43" t="s">
        <v>272</v>
      </c>
      <c r="D342" s="43" t="s">
        <v>273</v>
      </c>
      <c r="E342" s="19"/>
      <c r="F342" s="18" t="str">
        <f aca="true">IF(E342="","",TODAY()-E342)</f>
        <v/>
      </c>
      <c r="G342" s="44" t="n">
        <v>90</v>
      </c>
      <c r="H342" s="45" t="str">
        <f aca="false">IF(E342="","",E342+G342)</f>
        <v/>
      </c>
      <c r="I342" s="19"/>
      <c r="J342" s="19"/>
      <c r="K342" s="19"/>
      <c r="L342" s="26" t="s">
        <v>274</v>
      </c>
      <c r="M342" s="46" t="str">
        <f aca="false">IF(E342="","—",IF(F342&gt;=G342,"🔴 VENCIDO",IF(F342&gt;=(G342-2),"🟡 REVISAR","🟢 OK")))</f>
        <v>—</v>
      </c>
      <c r="N342" s="19"/>
    </row>
    <row r="343" customFormat="false" ht="19.5" hidden="false" customHeight="true" outlineLevel="0" collapsed="false">
      <c r="A343" s="18" t="s">
        <v>120</v>
      </c>
      <c r="B343" s="19"/>
      <c r="C343" s="43" t="s">
        <v>275</v>
      </c>
      <c r="D343" s="43" t="s">
        <v>276</v>
      </c>
      <c r="E343" s="19"/>
      <c r="F343" s="18" t="str">
        <f aca="true">IF(E343="","",TODAY()-E343)</f>
        <v/>
      </c>
      <c r="G343" s="44" t="n">
        <v>21</v>
      </c>
      <c r="H343" s="45" t="str">
        <f aca="false">IF(E343="","",E343+G343)</f>
        <v/>
      </c>
      <c r="I343" s="19"/>
      <c r="J343" s="19"/>
      <c r="K343" s="19"/>
      <c r="L343" s="26" t="s">
        <v>277</v>
      </c>
      <c r="M343" s="46" t="str">
        <f aca="false">IF(E343="","—",IF(F343&gt;=G343,"🔴 VENCIDO",IF(F343&gt;=(G343-2),"🟡 REVISAR","🟢 OK")))</f>
        <v>—</v>
      </c>
      <c r="N343" s="19"/>
    </row>
    <row r="344" customFormat="false" ht="6" hidden="false" customHeight="true" outlineLevel="0" collapsed="false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 customFormat="false" ht="19.5" hidden="false" customHeight="true" outlineLevel="0" collapsed="false">
      <c r="A345" s="18" t="s">
        <v>121</v>
      </c>
      <c r="B345" s="19"/>
      <c r="C345" s="43" t="s">
        <v>226</v>
      </c>
      <c r="D345" s="43" t="s">
        <v>227</v>
      </c>
      <c r="E345" s="19"/>
      <c r="F345" s="18" t="str">
        <f aca="true">IF(E345="","",TODAY()-E345)</f>
        <v/>
      </c>
      <c r="G345" s="44" t="n">
        <v>14</v>
      </c>
      <c r="H345" s="45" t="str">
        <f aca="false">IF(E345="","",E345+G345)</f>
        <v/>
      </c>
      <c r="I345" s="19"/>
      <c r="J345" s="19"/>
      <c r="K345" s="19"/>
      <c r="L345" s="26" t="s">
        <v>228</v>
      </c>
      <c r="M345" s="46" t="str">
        <f aca="false">IF(E345="","—",IF(F345&gt;=G345,"🔴 VENCIDO",IF(F345&gt;=(G345-2),"🟡 REVISAR","🟢 OK")))</f>
        <v>—</v>
      </c>
      <c r="N345" s="19"/>
    </row>
    <row r="346" customFormat="false" ht="19.5" hidden="false" customHeight="true" outlineLevel="0" collapsed="false">
      <c r="A346" s="18" t="s">
        <v>121</v>
      </c>
      <c r="B346" s="19"/>
      <c r="C346" s="43" t="s">
        <v>229</v>
      </c>
      <c r="D346" s="43" t="s">
        <v>230</v>
      </c>
      <c r="E346" s="19"/>
      <c r="F346" s="18" t="str">
        <f aca="true">IF(E346="","",TODAY()-E346)</f>
        <v/>
      </c>
      <c r="G346" s="44" t="n">
        <v>7</v>
      </c>
      <c r="H346" s="45" t="str">
        <f aca="false">IF(E346="","",E346+G346)</f>
        <v/>
      </c>
      <c r="I346" s="19"/>
      <c r="J346" s="19"/>
      <c r="K346" s="19"/>
      <c r="L346" s="26" t="s">
        <v>231</v>
      </c>
      <c r="M346" s="46" t="str">
        <f aca="false">IF(E346="","—",IF(F346&gt;=G346,"🔴 VENCIDO",IF(F346&gt;=(G346-2),"🟡 REVISAR","🟢 OK")))</f>
        <v>—</v>
      </c>
      <c r="N346" s="19"/>
    </row>
    <row r="347" customFormat="false" ht="19.5" hidden="false" customHeight="true" outlineLevel="0" collapsed="false">
      <c r="A347" s="18" t="s">
        <v>121</v>
      </c>
      <c r="B347" s="19"/>
      <c r="C347" s="43" t="s">
        <v>232</v>
      </c>
      <c r="D347" s="43" t="s">
        <v>233</v>
      </c>
      <c r="E347" s="19"/>
      <c r="F347" s="18" t="str">
        <f aca="true">IF(E347="","",TODAY()-E347)</f>
        <v/>
      </c>
      <c r="G347" s="44" t="n">
        <v>30</v>
      </c>
      <c r="H347" s="45" t="str">
        <f aca="false">IF(E347="","",E347+G347)</f>
        <v/>
      </c>
      <c r="I347" s="19"/>
      <c r="J347" s="19"/>
      <c r="K347" s="19"/>
      <c r="L347" s="26" t="s">
        <v>234</v>
      </c>
      <c r="M347" s="46" t="str">
        <f aca="false">IF(E347="","—",IF(F347&gt;=G347,"🔴 VENCIDO",IF(F347&gt;=(G347-2),"🟡 REVISAR","🟢 OK")))</f>
        <v>—</v>
      </c>
      <c r="N347" s="19"/>
    </row>
    <row r="348" customFormat="false" ht="19.5" hidden="false" customHeight="true" outlineLevel="0" collapsed="false">
      <c r="A348" s="18" t="s">
        <v>121</v>
      </c>
      <c r="B348" s="19"/>
      <c r="C348" s="43" t="s">
        <v>235</v>
      </c>
      <c r="D348" s="43" t="s">
        <v>236</v>
      </c>
      <c r="E348" s="19"/>
      <c r="F348" s="18" t="str">
        <f aca="true">IF(E348="","",TODAY()-E348)</f>
        <v/>
      </c>
      <c r="G348" s="44" t="n">
        <v>30</v>
      </c>
      <c r="H348" s="45" t="str">
        <f aca="false">IF(E348="","",E348+G348)</f>
        <v/>
      </c>
      <c r="I348" s="19"/>
      <c r="J348" s="19"/>
      <c r="K348" s="19"/>
      <c r="L348" s="26" t="s">
        <v>237</v>
      </c>
      <c r="M348" s="46" t="str">
        <f aca="false">IF(E348="","—",IF(F348&gt;=G348,"🔴 VENCIDO",IF(F348&gt;=(G348-2),"🟡 REVISAR","🟢 OK")))</f>
        <v>—</v>
      </c>
      <c r="N348" s="19"/>
    </row>
    <row r="349" customFormat="false" ht="19.5" hidden="false" customHeight="true" outlineLevel="0" collapsed="false">
      <c r="A349" s="18" t="s">
        <v>121</v>
      </c>
      <c r="B349" s="19"/>
      <c r="C349" s="43" t="s">
        <v>238</v>
      </c>
      <c r="D349" s="43" t="s">
        <v>236</v>
      </c>
      <c r="E349" s="19"/>
      <c r="F349" s="18" t="str">
        <f aca="true">IF(E349="","",TODAY()-E349)</f>
        <v/>
      </c>
      <c r="G349" s="44" t="n">
        <v>14</v>
      </c>
      <c r="H349" s="45" t="str">
        <f aca="false">IF(E349="","",E349+G349)</f>
        <v/>
      </c>
      <c r="I349" s="19"/>
      <c r="J349" s="19"/>
      <c r="K349" s="19"/>
      <c r="L349" s="26" t="s">
        <v>239</v>
      </c>
      <c r="M349" s="46" t="str">
        <f aca="false">IF(E349="","—",IF(F349&gt;=G349,"🔴 VENCIDO",IF(F349&gt;=(G349-2),"🟡 REVISAR","🟢 OK")))</f>
        <v>—</v>
      </c>
      <c r="N349" s="19"/>
    </row>
    <row r="350" customFormat="false" ht="19.5" hidden="false" customHeight="true" outlineLevel="0" collapsed="false">
      <c r="A350" s="18" t="s">
        <v>121</v>
      </c>
      <c r="B350" s="19"/>
      <c r="C350" s="43" t="s">
        <v>240</v>
      </c>
      <c r="D350" s="43" t="s">
        <v>241</v>
      </c>
      <c r="E350" s="19"/>
      <c r="F350" s="18" t="str">
        <f aca="true">IF(E350="","",TODAY()-E350)</f>
        <v/>
      </c>
      <c r="G350" s="44" t="n">
        <v>21</v>
      </c>
      <c r="H350" s="45" t="str">
        <f aca="false">IF(E350="","",E350+G350)</f>
        <v/>
      </c>
      <c r="I350" s="19"/>
      <c r="J350" s="19"/>
      <c r="K350" s="19"/>
      <c r="L350" s="26" t="s">
        <v>242</v>
      </c>
      <c r="M350" s="46" t="str">
        <f aca="false">IF(E350="","—",IF(F350&gt;=G350,"🔴 VENCIDO",IF(F350&gt;=(G350-2),"🟡 REVISAR","🟢 OK")))</f>
        <v>—</v>
      </c>
      <c r="N350" s="19"/>
    </row>
    <row r="351" customFormat="false" ht="19.5" hidden="false" customHeight="true" outlineLevel="0" collapsed="false">
      <c r="A351" s="18" t="s">
        <v>121</v>
      </c>
      <c r="B351" s="19"/>
      <c r="C351" s="43" t="s">
        <v>243</v>
      </c>
      <c r="D351" s="43" t="s">
        <v>244</v>
      </c>
      <c r="E351" s="19"/>
      <c r="F351" s="18" t="str">
        <f aca="true">IF(E351="","",TODAY()-E351)</f>
        <v/>
      </c>
      <c r="G351" s="44" t="n">
        <v>30</v>
      </c>
      <c r="H351" s="45" t="str">
        <f aca="false">IF(E351="","",E351+G351)</f>
        <v/>
      </c>
      <c r="I351" s="19"/>
      <c r="J351" s="19"/>
      <c r="K351" s="19"/>
      <c r="L351" s="26" t="s">
        <v>245</v>
      </c>
      <c r="M351" s="46" t="str">
        <f aca="false">IF(E351="","—",IF(F351&gt;=G351,"🔴 VENCIDO",IF(F351&gt;=(G351-2),"🟡 REVISAR","🟢 OK")))</f>
        <v>—</v>
      </c>
      <c r="N351" s="19"/>
    </row>
    <row r="352" customFormat="false" ht="19.5" hidden="false" customHeight="true" outlineLevel="0" collapsed="false">
      <c r="A352" s="18" t="s">
        <v>121</v>
      </c>
      <c r="B352" s="19"/>
      <c r="C352" s="43" t="s">
        <v>246</v>
      </c>
      <c r="D352" s="43" t="s">
        <v>247</v>
      </c>
      <c r="E352" s="19"/>
      <c r="F352" s="18" t="str">
        <f aca="true">IF(E352="","",TODAY()-E352)</f>
        <v/>
      </c>
      <c r="G352" s="44" t="n">
        <v>14</v>
      </c>
      <c r="H352" s="45" t="str">
        <f aca="false">IF(E352="","",E352+G352)</f>
        <v/>
      </c>
      <c r="I352" s="19"/>
      <c r="J352" s="19"/>
      <c r="K352" s="19"/>
      <c r="L352" s="26" t="s">
        <v>248</v>
      </c>
      <c r="M352" s="46" t="str">
        <f aca="false">IF(E352="","—",IF(F352&gt;=G352,"🔴 VENCIDO",IF(F352&gt;=(G352-2),"🟡 REVISAR","🟢 OK")))</f>
        <v>—</v>
      </c>
      <c r="N352" s="19"/>
    </row>
    <row r="353" customFormat="false" ht="19.5" hidden="false" customHeight="true" outlineLevel="0" collapsed="false">
      <c r="A353" s="18" t="s">
        <v>121</v>
      </c>
      <c r="B353" s="19"/>
      <c r="C353" s="43" t="s">
        <v>249</v>
      </c>
      <c r="D353" s="43" t="s">
        <v>250</v>
      </c>
      <c r="E353" s="19"/>
      <c r="F353" s="18" t="str">
        <f aca="true">IF(E353="","",TODAY()-E353)</f>
        <v/>
      </c>
      <c r="G353" s="44" t="n">
        <v>14</v>
      </c>
      <c r="H353" s="45" t="str">
        <f aca="false">IF(E353="","",E353+G353)</f>
        <v/>
      </c>
      <c r="I353" s="19"/>
      <c r="J353" s="19"/>
      <c r="K353" s="19"/>
      <c r="L353" s="26" t="s">
        <v>251</v>
      </c>
      <c r="M353" s="46" t="str">
        <f aca="false">IF(E353="","—",IF(F353&gt;=G353,"🔴 VENCIDO",IF(F353&gt;=(G353-2),"🟡 REVISAR","🟢 OK")))</f>
        <v>—</v>
      </c>
      <c r="N353" s="19"/>
    </row>
    <row r="354" customFormat="false" ht="19.5" hidden="false" customHeight="true" outlineLevel="0" collapsed="false">
      <c r="A354" s="18" t="s">
        <v>121</v>
      </c>
      <c r="B354" s="19"/>
      <c r="C354" s="43" t="s">
        <v>252</v>
      </c>
      <c r="D354" s="43" t="s">
        <v>253</v>
      </c>
      <c r="E354" s="19"/>
      <c r="F354" s="18" t="str">
        <f aca="true">IF(E354="","",TODAY()-E354)</f>
        <v/>
      </c>
      <c r="G354" s="44" t="n">
        <v>14</v>
      </c>
      <c r="H354" s="45" t="str">
        <f aca="false">IF(E354="","",E354+G354)</f>
        <v/>
      </c>
      <c r="I354" s="19"/>
      <c r="J354" s="19"/>
      <c r="K354" s="19"/>
      <c r="L354" s="26" t="s">
        <v>254</v>
      </c>
      <c r="M354" s="46" t="str">
        <f aca="false">IF(E354="","—",IF(F354&gt;=G354,"🔴 VENCIDO",IF(F354&gt;=(G354-2),"🟡 REVISAR","🟢 OK")))</f>
        <v>—</v>
      </c>
      <c r="N354" s="19"/>
    </row>
    <row r="355" customFormat="false" ht="19.5" hidden="false" customHeight="true" outlineLevel="0" collapsed="false">
      <c r="A355" s="18" t="s">
        <v>121</v>
      </c>
      <c r="B355" s="19"/>
      <c r="C355" s="43" t="s">
        <v>255</v>
      </c>
      <c r="D355" s="43" t="s">
        <v>256</v>
      </c>
      <c r="E355" s="19"/>
      <c r="F355" s="18" t="str">
        <f aca="true">IF(E355="","",TODAY()-E355)</f>
        <v/>
      </c>
      <c r="G355" s="44" t="n">
        <v>90</v>
      </c>
      <c r="H355" s="45" t="str">
        <f aca="false">IF(E355="","",E355+G355)</f>
        <v/>
      </c>
      <c r="I355" s="19"/>
      <c r="J355" s="19"/>
      <c r="K355" s="19"/>
      <c r="L355" s="26" t="s">
        <v>257</v>
      </c>
      <c r="M355" s="46" t="str">
        <f aca="false">IF(E355="","—",IF(F355&gt;=G355,"🔴 VENCIDO",IF(F355&gt;=(G355-2),"🟡 REVISAR","🟢 OK")))</f>
        <v>—</v>
      </c>
      <c r="N355" s="19"/>
    </row>
    <row r="356" customFormat="false" ht="19.5" hidden="false" customHeight="true" outlineLevel="0" collapsed="false">
      <c r="A356" s="18" t="s">
        <v>121</v>
      </c>
      <c r="B356" s="19"/>
      <c r="C356" s="43" t="s">
        <v>258</v>
      </c>
      <c r="D356" s="43" t="s">
        <v>259</v>
      </c>
      <c r="E356" s="19"/>
      <c r="F356" s="18" t="str">
        <f aca="true">IF(E356="","",TODAY()-E356)</f>
        <v/>
      </c>
      <c r="G356" s="44" t="n">
        <v>4</v>
      </c>
      <c r="H356" s="45" t="str">
        <f aca="false">IF(E356="","",E356+G356)</f>
        <v/>
      </c>
      <c r="I356" s="19"/>
      <c r="J356" s="19"/>
      <c r="K356" s="19"/>
      <c r="L356" s="26" t="s">
        <v>260</v>
      </c>
      <c r="M356" s="46" t="str">
        <f aca="false">IF(E356="","—",IF(F356&gt;=G356,"🔴 VENCIDO",IF(F356&gt;=(G356-2),"🟡 REVISAR","🟢 OK")))</f>
        <v>—</v>
      </c>
      <c r="N356" s="19"/>
    </row>
    <row r="357" customFormat="false" ht="19.5" hidden="false" customHeight="true" outlineLevel="0" collapsed="false">
      <c r="A357" s="18" t="s">
        <v>121</v>
      </c>
      <c r="B357" s="19"/>
      <c r="C357" s="43" t="s">
        <v>261</v>
      </c>
      <c r="D357" s="43" t="s">
        <v>262</v>
      </c>
      <c r="E357" s="19"/>
      <c r="F357" s="18" t="str">
        <f aca="true">IF(E357="","",TODAY()-E357)</f>
        <v/>
      </c>
      <c r="G357" s="44" t="n">
        <v>2</v>
      </c>
      <c r="H357" s="45" t="str">
        <f aca="false">IF(E357="","",E357+G357)</f>
        <v/>
      </c>
      <c r="I357" s="19"/>
      <c r="J357" s="19"/>
      <c r="K357" s="19"/>
      <c r="L357" s="26" t="s">
        <v>263</v>
      </c>
      <c r="M357" s="46" t="str">
        <f aca="false">IF(E357="","—",IF(F357&gt;=G357,"🔴 VENCIDO",IF(F357&gt;=(G357-2),"🟡 REVISAR","🟢 OK")))</f>
        <v>—</v>
      </c>
      <c r="N357" s="19"/>
    </row>
    <row r="358" customFormat="false" ht="19.5" hidden="false" customHeight="true" outlineLevel="0" collapsed="false">
      <c r="A358" s="18" t="s">
        <v>121</v>
      </c>
      <c r="B358" s="19"/>
      <c r="C358" s="43" t="s">
        <v>264</v>
      </c>
      <c r="D358" s="43" t="s">
        <v>265</v>
      </c>
      <c r="E358" s="19"/>
      <c r="F358" s="18" t="str">
        <f aca="true">IF(E358="","",TODAY()-E358)</f>
        <v/>
      </c>
      <c r="G358" s="44" t="n">
        <v>7</v>
      </c>
      <c r="H358" s="45" t="str">
        <f aca="false">IF(E358="","",E358+G358)</f>
        <v/>
      </c>
      <c r="I358" s="19"/>
      <c r="J358" s="19"/>
      <c r="K358" s="19"/>
      <c r="L358" s="26" t="s">
        <v>266</v>
      </c>
      <c r="M358" s="46" t="str">
        <f aca="false">IF(E358="","—",IF(F358&gt;=G358,"🔴 VENCIDO",IF(F358&gt;=(G358-2),"🟡 REVISAR","🟢 OK")))</f>
        <v>—</v>
      </c>
      <c r="N358" s="19"/>
    </row>
    <row r="359" customFormat="false" ht="19.5" hidden="false" customHeight="true" outlineLevel="0" collapsed="false">
      <c r="A359" s="18" t="s">
        <v>121</v>
      </c>
      <c r="B359" s="19"/>
      <c r="C359" s="43" t="s">
        <v>267</v>
      </c>
      <c r="D359" s="43" t="s">
        <v>268</v>
      </c>
      <c r="E359" s="19"/>
      <c r="F359" s="18" t="str">
        <f aca="true">IF(E359="","",TODAY()-E359)</f>
        <v/>
      </c>
      <c r="G359" s="44" t="n">
        <v>14</v>
      </c>
      <c r="H359" s="45" t="str">
        <f aca="false">IF(E359="","",E359+G359)</f>
        <v/>
      </c>
      <c r="I359" s="19"/>
      <c r="J359" s="19"/>
      <c r="K359" s="19"/>
      <c r="L359" s="26" t="s">
        <v>269</v>
      </c>
      <c r="M359" s="46" t="str">
        <f aca="false">IF(E359="","—",IF(F359&gt;=G359,"🔴 VENCIDO",IF(F359&gt;=(G359-2),"🟡 REVISAR","🟢 OK")))</f>
        <v>—</v>
      </c>
      <c r="N359" s="19"/>
    </row>
    <row r="360" customFormat="false" ht="19.5" hidden="false" customHeight="true" outlineLevel="0" collapsed="false">
      <c r="A360" s="18" t="s">
        <v>121</v>
      </c>
      <c r="B360" s="19"/>
      <c r="C360" s="43" t="s">
        <v>270</v>
      </c>
      <c r="D360" s="43" t="s">
        <v>271</v>
      </c>
      <c r="E360" s="19"/>
      <c r="F360" s="18" t="str">
        <f aca="true">IF(E360="","",TODAY()-E360)</f>
        <v/>
      </c>
      <c r="G360" s="44" t="n">
        <v>7</v>
      </c>
      <c r="H360" s="45" t="str">
        <f aca="false">IF(E360="","",E360+G360)</f>
        <v/>
      </c>
      <c r="I360" s="19"/>
      <c r="J360" s="19"/>
      <c r="K360" s="19"/>
      <c r="L360" s="26" t="s">
        <v>239</v>
      </c>
      <c r="M360" s="46" t="str">
        <f aca="false">IF(E360="","—",IF(F360&gt;=G360,"🔴 VENCIDO",IF(F360&gt;=(G360-2),"🟡 REVISAR","🟢 OK")))</f>
        <v>—</v>
      </c>
      <c r="N360" s="19"/>
    </row>
    <row r="361" customFormat="false" ht="19.5" hidden="false" customHeight="true" outlineLevel="0" collapsed="false">
      <c r="A361" s="18" t="s">
        <v>121</v>
      </c>
      <c r="B361" s="19"/>
      <c r="C361" s="43" t="s">
        <v>272</v>
      </c>
      <c r="D361" s="43" t="s">
        <v>273</v>
      </c>
      <c r="E361" s="19"/>
      <c r="F361" s="18" t="str">
        <f aca="true">IF(E361="","",TODAY()-E361)</f>
        <v/>
      </c>
      <c r="G361" s="44" t="n">
        <v>90</v>
      </c>
      <c r="H361" s="45" t="str">
        <f aca="false">IF(E361="","",E361+G361)</f>
        <v/>
      </c>
      <c r="I361" s="19"/>
      <c r="J361" s="19"/>
      <c r="K361" s="19"/>
      <c r="L361" s="26" t="s">
        <v>274</v>
      </c>
      <c r="M361" s="46" t="str">
        <f aca="false">IF(E361="","—",IF(F361&gt;=G361,"🔴 VENCIDO",IF(F361&gt;=(G361-2),"🟡 REVISAR","🟢 OK")))</f>
        <v>—</v>
      </c>
      <c r="N361" s="19"/>
    </row>
    <row r="362" customFormat="false" ht="19.5" hidden="false" customHeight="true" outlineLevel="0" collapsed="false">
      <c r="A362" s="18" t="s">
        <v>121</v>
      </c>
      <c r="B362" s="19"/>
      <c r="C362" s="43" t="s">
        <v>275</v>
      </c>
      <c r="D362" s="43" t="s">
        <v>276</v>
      </c>
      <c r="E362" s="19"/>
      <c r="F362" s="18" t="str">
        <f aca="true">IF(E362="","",TODAY()-E362)</f>
        <v/>
      </c>
      <c r="G362" s="44" t="n">
        <v>21</v>
      </c>
      <c r="H362" s="45" t="str">
        <f aca="false">IF(E362="","",E362+G362)</f>
        <v/>
      </c>
      <c r="I362" s="19"/>
      <c r="J362" s="19"/>
      <c r="K362" s="19"/>
      <c r="L362" s="26" t="s">
        <v>277</v>
      </c>
      <c r="M362" s="46" t="str">
        <f aca="false">IF(E362="","—",IF(F362&gt;=G362,"🔴 VENCIDO",IF(F362&gt;=(G362-2),"🟡 REVISAR","🟢 OK")))</f>
        <v>—</v>
      </c>
      <c r="N362" s="19"/>
    </row>
    <row r="363" customFormat="false" ht="6" hidden="false" customHeight="true" outlineLevel="0" collapsed="false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 customFormat="false" ht="19.5" hidden="false" customHeight="true" outlineLevel="0" collapsed="false">
      <c r="A364" s="18" t="s">
        <v>122</v>
      </c>
      <c r="B364" s="19"/>
      <c r="C364" s="43" t="s">
        <v>226</v>
      </c>
      <c r="D364" s="43" t="s">
        <v>227</v>
      </c>
      <c r="E364" s="19"/>
      <c r="F364" s="18" t="str">
        <f aca="true">IF(E364="","",TODAY()-E364)</f>
        <v/>
      </c>
      <c r="G364" s="44" t="n">
        <v>14</v>
      </c>
      <c r="H364" s="45" t="str">
        <f aca="false">IF(E364="","",E364+G364)</f>
        <v/>
      </c>
      <c r="I364" s="19"/>
      <c r="J364" s="19"/>
      <c r="K364" s="19"/>
      <c r="L364" s="26" t="s">
        <v>228</v>
      </c>
      <c r="M364" s="46" t="str">
        <f aca="false">IF(E364="","—",IF(F364&gt;=G364,"🔴 VENCIDO",IF(F364&gt;=(G364-2),"🟡 REVISAR","🟢 OK")))</f>
        <v>—</v>
      </c>
      <c r="N364" s="19"/>
    </row>
    <row r="365" customFormat="false" ht="19.5" hidden="false" customHeight="true" outlineLevel="0" collapsed="false">
      <c r="A365" s="18" t="s">
        <v>122</v>
      </c>
      <c r="B365" s="19"/>
      <c r="C365" s="43" t="s">
        <v>229</v>
      </c>
      <c r="D365" s="43" t="s">
        <v>230</v>
      </c>
      <c r="E365" s="19"/>
      <c r="F365" s="18" t="str">
        <f aca="true">IF(E365="","",TODAY()-E365)</f>
        <v/>
      </c>
      <c r="G365" s="44" t="n">
        <v>7</v>
      </c>
      <c r="H365" s="45" t="str">
        <f aca="false">IF(E365="","",E365+G365)</f>
        <v/>
      </c>
      <c r="I365" s="19"/>
      <c r="J365" s="19"/>
      <c r="K365" s="19"/>
      <c r="L365" s="26" t="s">
        <v>231</v>
      </c>
      <c r="M365" s="46" t="str">
        <f aca="false">IF(E365="","—",IF(F365&gt;=G365,"🔴 VENCIDO",IF(F365&gt;=(G365-2),"🟡 REVISAR","🟢 OK")))</f>
        <v>—</v>
      </c>
      <c r="N365" s="19"/>
    </row>
    <row r="366" customFormat="false" ht="19.5" hidden="false" customHeight="true" outlineLevel="0" collapsed="false">
      <c r="A366" s="18" t="s">
        <v>122</v>
      </c>
      <c r="B366" s="19"/>
      <c r="C366" s="43" t="s">
        <v>232</v>
      </c>
      <c r="D366" s="43" t="s">
        <v>233</v>
      </c>
      <c r="E366" s="19"/>
      <c r="F366" s="18" t="str">
        <f aca="true">IF(E366="","",TODAY()-E366)</f>
        <v/>
      </c>
      <c r="G366" s="44" t="n">
        <v>30</v>
      </c>
      <c r="H366" s="45" t="str">
        <f aca="false">IF(E366="","",E366+G366)</f>
        <v/>
      </c>
      <c r="I366" s="19"/>
      <c r="J366" s="19"/>
      <c r="K366" s="19"/>
      <c r="L366" s="26" t="s">
        <v>234</v>
      </c>
      <c r="M366" s="46" t="str">
        <f aca="false">IF(E366="","—",IF(F366&gt;=G366,"🔴 VENCIDO",IF(F366&gt;=(G366-2),"🟡 REVISAR","🟢 OK")))</f>
        <v>—</v>
      </c>
      <c r="N366" s="19"/>
    </row>
    <row r="367" customFormat="false" ht="19.5" hidden="false" customHeight="true" outlineLevel="0" collapsed="false">
      <c r="A367" s="18" t="s">
        <v>122</v>
      </c>
      <c r="B367" s="19"/>
      <c r="C367" s="43" t="s">
        <v>235</v>
      </c>
      <c r="D367" s="43" t="s">
        <v>236</v>
      </c>
      <c r="E367" s="19"/>
      <c r="F367" s="18" t="str">
        <f aca="true">IF(E367="","",TODAY()-E367)</f>
        <v/>
      </c>
      <c r="G367" s="44" t="n">
        <v>30</v>
      </c>
      <c r="H367" s="45" t="str">
        <f aca="false">IF(E367="","",E367+G367)</f>
        <v/>
      </c>
      <c r="I367" s="19"/>
      <c r="J367" s="19"/>
      <c r="K367" s="19"/>
      <c r="L367" s="26" t="s">
        <v>237</v>
      </c>
      <c r="M367" s="46" t="str">
        <f aca="false">IF(E367="","—",IF(F367&gt;=G367,"🔴 VENCIDO",IF(F367&gt;=(G367-2),"🟡 REVISAR","🟢 OK")))</f>
        <v>—</v>
      </c>
      <c r="N367" s="19"/>
    </row>
    <row r="368" customFormat="false" ht="19.5" hidden="false" customHeight="true" outlineLevel="0" collapsed="false">
      <c r="A368" s="18" t="s">
        <v>122</v>
      </c>
      <c r="B368" s="19"/>
      <c r="C368" s="43" t="s">
        <v>238</v>
      </c>
      <c r="D368" s="43" t="s">
        <v>236</v>
      </c>
      <c r="E368" s="19"/>
      <c r="F368" s="18" t="str">
        <f aca="true">IF(E368="","",TODAY()-E368)</f>
        <v/>
      </c>
      <c r="G368" s="44" t="n">
        <v>14</v>
      </c>
      <c r="H368" s="45" t="str">
        <f aca="false">IF(E368="","",E368+G368)</f>
        <v/>
      </c>
      <c r="I368" s="19"/>
      <c r="J368" s="19"/>
      <c r="K368" s="19"/>
      <c r="L368" s="26" t="s">
        <v>239</v>
      </c>
      <c r="M368" s="46" t="str">
        <f aca="false">IF(E368="","—",IF(F368&gt;=G368,"🔴 VENCIDO",IF(F368&gt;=(G368-2),"🟡 REVISAR","🟢 OK")))</f>
        <v>—</v>
      </c>
      <c r="N368" s="19"/>
    </row>
    <row r="369" customFormat="false" ht="19.5" hidden="false" customHeight="true" outlineLevel="0" collapsed="false">
      <c r="A369" s="18" t="s">
        <v>122</v>
      </c>
      <c r="B369" s="19"/>
      <c r="C369" s="43" t="s">
        <v>240</v>
      </c>
      <c r="D369" s="43" t="s">
        <v>241</v>
      </c>
      <c r="E369" s="19"/>
      <c r="F369" s="18" t="str">
        <f aca="true">IF(E369="","",TODAY()-E369)</f>
        <v/>
      </c>
      <c r="G369" s="44" t="n">
        <v>21</v>
      </c>
      <c r="H369" s="45" t="str">
        <f aca="false">IF(E369="","",E369+G369)</f>
        <v/>
      </c>
      <c r="I369" s="19"/>
      <c r="J369" s="19"/>
      <c r="K369" s="19"/>
      <c r="L369" s="26" t="s">
        <v>242</v>
      </c>
      <c r="M369" s="46" t="str">
        <f aca="false">IF(E369="","—",IF(F369&gt;=G369,"🔴 VENCIDO",IF(F369&gt;=(G369-2),"🟡 REVISAR","🟢 OK")))</f>
        <v>—</v>
      </c>
      <c r="N369" s="19"/>
    </row>
    <row r="370" customFormat="false" ht="19.5" hidden="false" customHeight="true" outlineLevel="0" collapsed="false">
      <c r="A370" s="18" t="s">
        <v>122</v>
      </c>
      <c r="B370" s="19"/>
      <c r="C370" s="43" t="s">
        <v>243</v>
      </c>
      <c r="D370" s="43" t="s">
        <v>244</v>
      </c>
      <c r="E370" s="19"/>
      <c r="F370" s="18" t="str">
        <f aca="true">IF(E370="","",TODAY()-E370)</f>
        <v/>
      </c>
      <c r="G370" s="44" t="n">
        <v>30</v>
      </c>
      <c r="H370" s="45" t="str">
        <f aca="false">IF(E370="","",E370+G370)</f>
        <v/>
      </c>
      <c r="I370" s="19"/>
      <c r="J370" s="19"/>
      <c r="K370" s="19"/>
      <c r="L370" s="26" t="s">
        <v>245</v>
      </c>
      <c r="M370" s="46" t="str">
        <f aca="false">IF(E370="","—",IF(F370&gt;=G370,"🔴 VENCIDO",IF(F370&gt;=(G370-2),"🟡 REVISAR","🟢 OK")))</f>
        <v>—</v>
      </c>
      <c r="N370" s="19"/>
    </row>
    <row r="371" customFormat="false" ht="19.5" hidden="false" customHeight="true" outlineLevel="0" collapsed="false">
      <c r="A371" s="18" t="s">
        <v>122</v>
      </c>
      <c r="B371" s="19"/>
      <c r="C371" s="43" t="s">
        <v>246</v>
      </c>
      <c r="D371" s="43" t="s">
        <v>247</v>
      </c>
      <c r="E371" s="19"/>
      <c r="F371" s="18" t="str">
        <f aca="true">IF(E371="","",TODAY()-E371)</f>
        <v/>
      </c>
      <c r="G371" s="44" t="n">
        <v>14</v>
      </c>
      <c r="H371" s="45" t="str">
        <f aca="false">IF(E371="","",E371+G371)</f>
        <v/>
      </c>
      <c r="I371" s="19"/>
      <c r="J371" s="19"/>
      <c r="K371" s="19"/>
      <c r="L371" s="26" t="s">
        <v>248</v>
      </c>
      <c r="M371" s="46" t="str">
        <f aca="false">IF(E371="","—",IF(F371&gt;=G371,"🔴 VENCIDO",IF(F371&gt;=(G371-2),"🟡 REVISAR","🟢 OK")))</f>
        <v>—</v>
      </c>
      <c r="N371" s="19"/>
    </row>
    <row r="372" customFormat="false" ht="19.5" hidden="false" customHeight="true" outlineLevel="0" collapsed="false">
      <c r="A372" s="18" t="s">
        <v>122</v>
      </c>
      <c r="B372" s="19"/>
      <c r="C372" s="43" t="s">
        <v>249</v>
      </c>
      <c r="D372" s="43" t="s">
        <v>250</v>
      </c>
      <c r="E372" s="19"/>
      <c r="F372" s="18" t="str">
        <f aca="true">IF(E372="","",TODAY()-E372)</f>
        <v/>
      </c>
      <c r="G372" s="44" t="n">
        <v>14</v>
      </c>
      <c r="H372" s="45" t="str">
        <f aca="false">IF(E372="","",E372+G372)</f>
        <v/>
      </c>
      <c r="I372" s="19"/>
      <c r="J372" s="19"/>
      <c r="K372" s="19"/>
      <c r="L372" s="26" t="s">
        <v>251</v>
      </c>
      <c r="M372" s="46" t="str">
        <f aca="false">IF(E372="","—",IF(F372&gt;=G372,"🔴 VENCIDO",IF(F372&gt;=(G372-2),"🟡 REVISAR","🟢 OK")))</f>
        <v>—</v>
      </c>
      <c r="N372" s="19"/>
    </row>
    <row r="373" customFormat="false" ht="19.5" hidden="false" customHeight="true" outlineLevel="0" collapsed="false">
      <c r="A373" s="18" t="s">
        <v>122</v>
      </c>
      <c r="B373" s="19"/>
      <c r="C373" s="43" t="s">
        <v>252</v>
      </c>
      <c r="D373" s="43" t="s">
        <v>253</v>
      </c>
      <c r="E373" s="19"/>
      <c r="F373" s="18" t="str">
        <f aca="true">IF(E373="","",TODAY()-E373)</f>
        <v/>
      </c>
      <c r="G373" s="44" t="n">
        <v>14</v>
      </c>
      <c r="H373" s="45" t="str">
        <f aca="false">IF(E373="","",E373+G373)</f>
        <v/>
      </c>
      <c r="I373" s="19"/>
      <c r="J373" s="19"/>
      <c r="K373" s="19"/>
      <c r="L373" s="26" t="s">
        <v>254</v>
      </c>
      <c r="M373" s="46" t="str">
        <f aca="false">IF(E373="","—",IF(F373&gt;=G373,"🔴 VENCIDO",IF(F373&gt;=(G373-2),"🟡 REVISAR","🟢 OK")))</f>
        <v>—</v>
      </c>
      <c r="N373" s="19"/>
    </row>
    <row r="374" customFormat="false" ht="19.5" hidden="false" customHeight="true" outlineLevel="0" collapsed="false">
      <c r="A374" s="18" t="s">
        <v>122</v>
      </c>
      <c r="B374" s="19"/>
      <c r="C374" s="43" t="s">
        <v>255</v>
      </c>
      <c r="D374" s="43" t="s">
        <v>256</v>
      </c>
      <c r="E374" s="19"/>
      <c r="F374" s="18" t="str">
        <f aca="true">IF(E374="","",TODAY()-E374)</f>
        <v/>
      </c>
      <c r="G374" s="44" t="n">
        <v>90</v>
      </c>
      <c r="H374" s="45" t="str">
        <f aca="false">IF(E374="","",E374+G374)</f>
        <v/>
      </c>
      <c r="I374" s="19"/>
      <c r="J374" s="19"/>
      <c r="K374" s="19"/>
      <c r="L374" s="26" t="s">
        <v>257</v>
      </c>
      <c r="M374" s="46" t="str">
        <f aca="false">IF(E374="","—",IF(F374&gt;=G374,"🔴 VENCIDO",IF(F374&gt;=(G374-2),"🟡 REVISAR","🟢 OK")))</f>
        <v>—</v>
      </c>
      <c r="N374" s="19"/>
    </row>
    <row r="375" customFormat="false" ht="19.5" hidden="false" customHeight="true" outlineLevel="0" collapsed="false">
      <c r="A375" s="18" t="s">
        <v>122</v>
      </c>
      <c r="B375" s="19"/>
      <c r="C375" s="43" t="s">
        <v>258</v>
      </c>
      <c r="D375" s="43" t="s">
        <v>259</v>
      </c>
      <c r="E375" s="19"/>
      <c r="F375" s="18" t="str">
        <f aca="true">IF(E375="","",TODAY()-E375)</f>
        <v/>
      </c>
      <c r="G375" s="44" t="n">
        <v>4</v>
      </c>
      <c r="H375" s="45" t="str">
        <f aca="false">IF(E375="","",E375+G375)</f>
        <v/>
      </c>
      <c r="I375" s="19"/>
      <c r="J375" s="19"/>
      <c r="K375" s="19"/>
      <c r="L375" s="26" t="s">
        <v>260</v>
      </c>
      <c r="M375" s="46" t="str">
        <f aca="false">IF(E375="","—",IF(F375&gt;=G375,"🔴 VENCIDO",IF(F375&gt;=(G375-2),"🟡 REVISAR","🟢 OK")))</f>
        <v>—</v>
      </c>
      <c r="N375" s="19"/>
    </row>
    <row r="376" customFormat="false" ht="19.5" hidden="false" customHeight="true" outlineLevel="0" collapsed="false">
      <c r="A376" s="18" t="s">
        <v>122</v>
      </c>
      <c r="B376" s="19"/>
      <c r="C376" s="43" t="s">
        <v>261</v>
      </c>
      <c r="D376" s="43" t="s">
        <v>262</v>
      </c>
      <c r="E376" s="19"/>
      <c r="F376" s="18" t="str">
        <f aca="true">IF(E376="","",TODAY()-E376)</f>
        <v/>
      </c>
      <c r="G376" s="44" t="n">
        <v>2</v>
      </c>
      <c r="H376" s="45" t="str">
        <f aca="false">IF(E376="","",E376+G376)</f>
        <v/>
      </c>
      <c r="I376" s="19"/>
      <c r="J376" s="19"/>
      <c r="K376" s="19"/>
      <c r="L376" s="26" t="s">
        <v>263</v>
      </c>
      <c r="M376" s="46" t="str">
        <f aca="false">IF(E376="","—",IF(F376&gt;=G376,"🔴 VENCIDO",IF(F376&gt;=(G376-2),"🟡 REVISAR","🟢 OK")))</f>
        <v>—</v>
      </c>
      <c r="N376" s="19"/>
    </row>
    <row r="377" customFormat="false" ht="19.5" hidden="false" customHeight="true" outlineLevel="0" collapsed="false">
      <c r="A377" s="18" t="s">
        <v>122</v>
      </c>
      <c r="B377" s="19"/>
      <c r="C377" s="43" t="s">
        <v>264</v>
      </c>
      <c r="D377" s="43" t="s">
        <v>265</v>
      </c>
      <c r="E377" s="19"/>
      <c r="F377" s="18" t="str">
        <f aca="true">IF(E377="","",TODAY()-E377)</f>
        <v/>
      </c>
      <c r="G377" s="44" t="n">
        <v>7</v>
      </c>
      <c r="H377" s="45" t="str">
        <f aca="false">IF(E377="","",E377+G377)</f>
        <v/>
      </c>
      <c r="I377" s="19"/>
      <c r="J377" s="19"/>
      <c r="K377" s="19"/>
      <c r="L377" s="26" t="s">
        <v>266</v>
      </c>
      <c r="M377" s="46" t="str">
        <f aca="false">IF(E377="","—",IF(F377&gt;=G377,"🔴 VENCIDO",IF(F377&gt;=(G377-2),"🟡 REVISAR","🟢 OK")))</f>
        <v>—</v>
      </c>
      <c r="N377" s="19"/>
    </row>
    <row r="378" customFormat="false" ht="19.5" hidden="false" customHeight="true" outlineLevel="0" collapsed="false">
      <c r="A378" s="18" t="s">
        <v>122</v>
      </c>
      <c r="B378" s="19"/>
      <c r="C378" s="43" t="s">
        <v>267</v>
      </c>
      <c r="D378" s="43" t="s">
        <v>268</v>
      </c>
      <c r="E378" s="19"/>
      <c r="F378" s="18" t="str">
        <f aca="true">IF(E378="","",TODAY()-E378)</f>
        <v/>
      </c>
      <c r="G378" s="44" t="n">
        <v>14</v>
      </c>
      <c r="H378" s="45" t="str">
        <f aca="false">IF(E378="","",E378+G378)</f>
        <v/>
      </c>
      <c r="I378" s="19"/>
      <c r="J378" s="19"/>
      <c r="K378" s="19"/>
      <c r="L378" s="26" t="s">
        <v>269</v>
      </c>
      <c r="M378" s="46" t="str">
        <f aca="false">IF(E378="","—",IF(F378&gt;=G378,"🔴 VENCIDO",IF(F378&gt;=(G378-2),"🟡 REVISAR","🟢 OK")))</f>
        <v>—</v>
      </c>
      <c r="N378" s="19"/>
    </row>
    <row r="379" customFormat="false" ht="19.5" hidden="false" customHeight="true" outlineLevel="0" collapsed="false">
      <c r="A379" s="18" t="s">
        <v>122</v>
      </c>
      <c r="B379" s="19"/>
      <c r="C379" s="43" t="s">
        <v>270</v>
      </c>
      <c r="D379" s="43" t="s">
        <v>271</v>
      </c>
      <c r="E379" s="19"/>
      <c r="F379" s="18" t="str">
        <f aca="true">IF(E379="","",TODAY()-E379)</f>
        <v/>
      </c>
      <c r="G379" s="44" t="n">
        <v>7</v>
      </c>
      <c r="H379" s="45" t="str">
        <f aca="false">IF(E379="","",E379+G379)</f>
        <v/>
      </c>
      <c r="I379" s="19"/>
      <c r="J379" s="19"/>
      <c r="K379" s="19"/>
      <c r="L379" s="26" t="s">
        <v>239</v>
      </c>
      <c r="M379" s="46" t="str">
        <f aca="false">IF(E379="","—",IF(F379&gt;=G379,"🔴 VENCIDO",IF(F379&gt;=(G379-2),"🟡 REVISAR","🟢 OK")))</f>
        <v>—</v>
      </c>
      <c r="N379" s="19"/>
    </row>
    <row r="380" customFormat="false" ht="19.5" hidden="false" customHeight="true" outlineLevel="0" collapsed="false">
      <c r="A380" s="18" t="s">
        <v>122</v>
      </c>
      <c r="B380" s="19"/>
      <c r="C380" s="43" t="s">
        <v>272</v>
      </c>
      <c r="D380" s="43" t="s">
        <v>273</v>
      </c>
      <c r="E380" s="19"/>
      <c r="F380" s="18" t="str">
        <f aca="true">IF(E380="","",TODAY()-E380)</f>
        <v/>
      </c>
      <c r="G380" s="44" t="n">
        <v>90</v>
      </c>
      <c r="H380" s="45" t="str">
        <f aca="false">IF(E380="","",E380+G380)</f>
        <v/>
      </c>
      <c r="I380" s="19"/>
      <c r="J380" s="19"/>
      <c r="K380" s="19"/>
      <c r="L380" s="26" t="s">
        <v>274</v>
      </c>
      <c r="M380" s="46" t="str">
        <f aca="false">IF(E380="","—",IF(F380&gt;=G380,"🔴 VENCIDO",IF(F380&gt;=(G380-2),"🟡 REVISAR","🟢 OK")))</f>
        <v>—</v>
      </c>
      <c r="N380" s="19"/>
    </row>
    <row r="381" customFormat="false" ht="19.5" hidden="false" customHeight="true" outlineLevel="0" collapsed="false">
      <c r="A381" s="18" t="s">
        <v>122</v>
      </c>
      <c r="B381" s="19"/>
      <c r="C381" s="43" t="s">
        <v>275</v>
      </c>
      <c r="D381" s="43" t="s">
        <v>276</v>
      </c>
      <c r="E381" s="19"/>
      <c r="F381" s="18" t="str">
        <f aca="true">IF(E381="","",TODAY()-E381)</f>
        <v/>
      </c>
      <c r="G381" s="44" t="n">
        <v>21</v>
      </c>
      <c r="H381" s="45" t="str">
        <f aca="false">IF(E381="","",E381+G381)</f>
        <v/>
      </c>
      <c r="I381" s="19"/>
      <c r="J381" s="19"/>
      <c r="K381" s="19"/>
      <c r="L381" s="26" t="s">
        <v>277</v>
      </c>
      <c r="M381" s="46" t="str">
        <f aca="false">IF(E381="","—",IF(F381&gt;=G381,"🔴 VENCIDO",IF(F381&gt;=(G381-2),"🟡 REVISAR","🟢 OK")))</f>
        <v>—</v>
      </c>
      <c r="N381" s="19"/>
    </row>
  </sheetData>
  <mergeCells count="1">
    <mergeCell ref="A1:N1"/>
  </mergeCells>
  <dataValidations count="3">
    <dataValidation allowBlank="true" errorStyle="stop" operator="between" prompt="Indicação atual?" showDropDown="false" showErrorMessage="false" showInputMessage="false" sqref="I3:I382" type="list">
      <formula1>"Sim,Não,Avaliar"</formula1>
      <formula2>0</formula2>
    </dataValidation>
    <dataValidation allowBlank="true" errorStyle="stop" operator="between" prompt="Sinais infecção?" showDropDown="false" showErrorMessage="false" showInputMessage="false" sqref="J3:J382" type="list">
      <formula1>"Sim,Não,Avaliar"</formula1>
      <formula2>0</formula2>
    </dataValidation>
    <dataValidation allowBlank="true" errorStyle="stop" operator="between" prompt="Retirar hoje?" showDropDown="false" showErrorMessage="false" showInputMessage="false" sqref="K3:K382" type="list">
      <formula1>"Sim,Não,Avaliar"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35"/>
    <col collapsed="false" customWidth="true" hidden="false" outlineLevel="0" max="9" min="9" style="1" width="30"/>
  </cols>
  <sheetData>
    <row r="1" customFormat="false" ht="27.75" hidden="false" customHeight="true" outlineLevel="0" collapsed="false">
      <c r="A1" s="48" t="s">
        <v>278</v>
      </c>
      <c r="B1" s="48"/>
      <c r="C1" s="48"/>
      <c r="D1" s="48"/>
      <c r="E1" s="48"/>
      <c r="F1" s="48"/>
      <c r="G1" s="48"/>
      <c r="H1" s="48"/>
      <c r="I1" s="48"/>
    </row>
    <row r="2" customFormat="false" ht="15" hidden="false" customHeight="true" outlineLevel="0" collapsed="false">
      <c r="A2" s="49" t="s">
        <v>279</v>
      </c>
      <c r="B2" s="49"/>
      <c r="C2" s="49"/>
      <c r="D2" s="49"/>
      <c r="E2" s="49"/>
      <c r="F2" s="49"/>
      <c r="G2" s="49"/>
      <c r="H2" s="49"/>
      <c r="I2" s="49"/>
    </row>
    <row r="3" customFormat="false" ht="15" hidden="false" customHeight="true" outlineLevel="0" collapsed="false">
      <c r="A3" s="17" t="s">
        <v>280</v>
      </c>
      <c r="B3" s="17" t="s">
        <v>281</v>
      </c>
      <c r="C3" s="17" t="s">
        <v>282</v>
      </c>
      <c r="D3" s="17" t="s">
        <v>283</v>
      </c>
      <c r="E3" s="17" t="s">
        <v>284</v>
      </c>
      <c r="F3" s="17" t="s">
        <v>285</v>
      </c>
      <c r="G3" s="17" t="s">
        <v>286</v>
      </c>
      <c r="H3" s="17" t="s">
        <v>287</v>
      </c>
      <c r="I3" s="17" t="s">
        <v>288</v>
      </c>
    </row>
    <row r="4" customFormat="false" ht="34.5" hidden="false" customHeight="true" outlineLevel="0" collapsed="false">
      <c r="A4" s="50" t="s">
        <v>289</v>
      </c>
      <c r="B4" s="26" t="s">
        <v>290</v>
      </c>
      <c r="C4" s="26" t="s">
        <v>291</v>
      </c>
      <c r="D4" s="26" t="s">
        <v>292</v>
      </c>
      <c r="E4" s="26" t="s">
        <v>293</v>
      </c>
      <c r="F4" s="26" t="s">
        <v>294</v>
      </c>
      <c r="G4" s="26" t="s">
        <v>295</v>
      </c>
      <c r="H4" s="26" t="s">
        <v>296</v>
      </c>
      <c r="I4" s="26" t="s">
        <v>297</v>
      </c>
    </row>
    <row r="5" customFormat="false" ht="34.5" hidden="false" customHeight="true" outlineLevel="0" collapsed="false">
      <c r="A5" s="50" t="s">
        <v>298</v>
      </c>
      <c r="B5" s="25" t="s">
        <v>299</v>
      </c>
      <c r="C5" s="25" t="s">
        <v>291</v>
      </c>
      <c r="D5" s="25" t="s">
        <v>292</v>
      </c>
      <c r="E5" s="25" t="s">
        <v>300</v>
      </c>
      <c r="F5" s="25" t="s">
        <v>301</v>
      </c>
      <c r="G5" s="25" t="s">
        <v>295</v>
      </c>
      <c r="H5" s="25" t="s">
        <v>302</v>
      </c>
      <c r="I5" s="25" t="s">
        <v>303</v>
      </c>
    </row>
    <row r="6" customFormat="false" ht="34.5" hidden="false" customHeight="true" outlineLevel="0" collapsed="false">
      <c r="A6" s="50" t="s">
        <v>304</v>
      </c>
      <c r="B6" s="26" t="s">
        <v>305</v>
      </c>
      <c r="C6" s="26" t="s">
        <v>306</v>
      </c>
      <c r="D6" s="26" t="s">
        <v>307</v>
      </c>
      <c r="E6" s="26" t="s">
        <v>308</v>
      </c>
      <c r="F6" s="26" t="s">
        <v>309</v>
      </c>
      <c r="G6" s="26" t="s">
        <v>310</v>
      </c>
      <c r="H6" s="26" t="s">
        <v>311</v>
      </c>
      <c r="I6" s="26" t="s">
        <v>312</v>
      </c>
    </row>
    <row r="7" customFormat="false" ht="34.5" hidden="false" customHeight="true" outlineLevel="0" collapsed="false">
      <c r="A7" s="50" t="s">
        <v>313</v>
      </c>
      <c r="B7" s="25" t="s">
        <v>314</v>
      </c>
      <c r="C7" s="25" t="s">
        <v>315</v>
      </c>
      <c r="D7" s="25" t="s">
        <v>316</v>
      </c>
      <c r="E7" s="25" t="s">
        <v>317</v>
      </c>
      <c r="F7" s="25" t="s">
        <v>318</v>
      </c>
      <c r="G7" s="25" t="s">
        <v>295</v>
      </c>
      <c r="H7" s="25" t="s">
        <v>319</v>
      </c>
      <c r="I7" s="25" t="s">
        <v>320</v>
      </c>
    </row>
    <row r="8" customFormat="false" ht="34.5" hidden="false" customHeight="true" outlineLevel="0" collapsed="false">
      <c r="A8" s="50" t="s">
        <v>321</v>
      </c>
      <c r="B8" s="26" t="s">
        <v>322</v>
      </c>
      <c r="C8" s="26" t="s">
        <v>323</v>
      </c>
      <c r="D8" s="26" t="s">
        <v>324</v>
      </c>
      <c r="E8" s="26" t="s">
        <v>325</v>
      </c>
      <c r="F8" s="26" t="s">
        <v>326</v>
      </c>
      <c r="G8" s="26" t="s">
        <v>295</v>
      </c>
      <c r="H8" s="26" t="s">
        <v>327</v>
      </c>
      <c r="I8" s="26" t="s">
        <v>328</v>
      </c>
    </row>
    <row r="9" customFormat="false" ht="34.5" hidden="false" customHeight="true" outlineLevel="0" collapsed="false">
      <c r="A9" s="50" t="s">
        <v>329</v>
      </c>
      <c r="B9" s="25" t="s">
        <v>330</v>
      </c>
      <c r="C9" s="25" t="s">
        <v>331</v>
      </c>
      <c r="D9" s="25" t="s">
        <v>332</v>
      </c>
      <c r="E9" s="25" t="s">
        <v>308</v>
      </c>
      <c r="F9" s="25" t="s">
        <v>333</v>
      </c>
      <c r="G9" s="25" t="s">
        <v>295</v>
      </c>
      <c r="H9" s="25" t="s">
        <v>334</v>
      </c>
      <c r="I9" s="25" t="s">
        <v>335</v>
      </c>
    </row>
    <row r="10" customFormat="false" ht="34.5" hidden="false" customHeight="true" outlineLevel="0" collapsed="false">
      <c r="A10" s="50" t="s">
        <v>336</v>
      </c>
      <c r="B10" s="26" t="s">
        <v>337</v>
      </c>
      <c r="C10" s="26" t="s">
        <v>338</v>
      </c>
      <c r="D10" s="26" t="s">
        <v>339</v>
      </c>
      <c r="E10" s="26" t="s">
        <v>340</v>
      </c>
      <c r="F10" s="26" t="s">
        <v>341</v>
      </c>
      <c r="G10" s="26" t="s">
        <v>342</v>
      </c>
      <c r="H10" s="26" t="s">
        <v>343</v>
      </c>
      <c r="I10" s="26" t="s">
        <v>344</v>
      </c>
    </row>
    <row r="11" customFormat="false" ht="34.5" hidden="false" customHeight="true" outlineLevel="0" collapsed="false">
      <c r="A11" s="50" t="s">
        <v>345</v>
      </c>
      <c r="B11" s="25" t="s">
        <v>346</v>
      </c>
      <c r="C11" s="25" t="s">
        <v>347</v>
      </c>
      <c r="D11" s="25" t="s">
        <v>348</v>
      </c>
      <c r="E11" s="25" t="s">
        <v>349</v>
      </c>
      <c r="F11" s="25" t="s">
        <v>350</v>
      </c>
      <c r="G11" s="25" t="s">
        <v>295</v>
      </c>
      <c r="H11" s="25" t="s">
        <v>351</v>
      </c>
      <c r="I11" s="25" t="s">
        <v>352</v>
      </c>
    </row>
    <row r="12" customFormat="false" ht="34.5" hidden="false" customHeight="true" outlineLevel="0" collapsed="false">
      <c r="A12" s="50" t="s">
        <v>353</v>
      </c>
      <c r="B12" s="26" t="s">
        <v>354</v>
      </c>
      <c r="C12" s="26" t="s">
        <v>355</v>
      </c>
      <c r="D12" s="26" t="s">
        <v>356</v>
      </c>
      <c r="E12" s="26" t="s">
        <v>357</v>
      </c>
      <c r="F12" s="26" t="s">
        <v>358</v>
      </c>
      <c r="G12" s="26" t="s">
        <v>295</v>
      </c>
      <c r="H12" s="26" t="s">
        <v>359</v>
      </c>
      <c r="I12" s="26" t="s">
        <v>360</v>
      </c>
    </row>
    <row r="13" customFormat="false" ht="34.5" hidden="false" customHeight="true" outlineLevel="0" collapsed="false">
      <c r="A13" s="50" t="s">
        <v>361</v>
      </c>
      <c r="B13" s="25" t="s">
        <v>362</v>
      </c>
      <c r="C13" s="25" t="s">
        <v>363</v>
      </c>
      <c r="D13" s="25" t="s">
        <v>364</v>
      </c>
      <c r="E13" s="25" t="s">
        <v>365</v>
      </c>
      <c r="F13" s="25" t="s">
        <v>366</v>
      </c>
      <c r="G13" s="25" t="s">
        <v>295</v>
      </c>
      <c r="H13" s="25" t="s">
        <v>367</v>
      </c>
      <c r="I13" s="25" t="s">
        <v>368</v>
      </c>
    </row>
    <row r="14" customFormat="false" ht="34.5" hidden="false" customHeight="true" outlineLevel="0" collapsed="false">
      <c r="A14" s="50" t="s">
        <v>369</v>
      </c>
      <c r="B14" s="26" t="s">
        <v>370</v>
      </c>
      <c r="C14" s="26" t="s">
        <v>371</v>
      </c>
      <c r="D14" s="26" t="s">
        <v>372</v>
      </c>
      <c r="E14" s="26" t="s">
        <v>373</v>
      </c>
      <c r="F14" s="26" t="s">
        <v>374</v>
      </c>
      <c r="G14" s="26" t="s">
        <v>310</v>
      </c>
      <c r="H14" s="26" t="s">
        <v>375</v>
      </c>
      <c r="I14" s="26" t="s">
        <v>376</v>
      </c>
    </row>
    <row r="15" customFormat="false" ht="34.5" hidden="false" customHeight="true" outlineLevel="0" collapsed="false">
      <c r="A15" s="50" t="s">
        <v>377</v>
      </c>
      <c r="B15" s="25" t="s">
        <v>378</v>
      </c>
      <c r="C15" s="25" t="s">
        <v>379</v>
      </c>
      <c r="D15" s="25" t="s">
        <v>380</v>
      </c>
      <c r="E15" s="25" t="s">
        <v>381</v>
      </c>
      <c r="F15" s="25" t="s">
        <v>382</v>
      </c>
      <c r="G15" s="25" t="s">
        <v>383</v>
      </c>
      <c r="H15" s="25" t="s">
        <v>359</v>
      </c>
      <c r="I15" s="25" t="s">
        <v>384</v>
      </c>
    </row>
    <row r="16" customFormat="false" ht="34.5" hidden="false" customHeight="true" outlineLevel="0" collapsed="false">
      <c r="A16" s="50" t="s">
        <v>385</v>
      </c>
      <c r="B16" s="26" t="s">
        <v>386</v>
      </c>
      <c r="C16" s="26" t="s">
        <v>387</v>
      </c>
      <c r="D16" s="26" t="s">
        <v>388</v>
      </c>
      <c r="E16" s="26" t="s">
        <v>389</v>
      </c>
      <c r="F16" s="26" t="s">
        <v>382</v>
      </c>
      <c r="G16" s="26" t="s">
        <v>390</v>
      </c>
      <c r="H16" s="26" t="s">
        <v>391</v>
      </c>
      <c r="I16" s="26" t="s">
        <v>392</v>
      </c>
    </row>
    <row r="18" customFormat="false" ht="15" hidden="false" customHeight="true" outlineLevel="0" collapsed="false">
      <c r="A18" s="51" t="s">
        <v>393</v>
      </c>
      <c r="B18" s="51"/>
      <c r="C18" s="51"/>
      <c r="D18" s="51"/>
      <c r="E18" s="51"/>
      <c r="F18" s="51"/>
      <c r="G18" s="51"/>
      <c r="H18" s="51"/>
      <c r="I18" s="51"/>
    </row>
    <row r="19" customFormat="false" ht="15" hidden="false" customHeight="true" outlineLevel="0" collapsed="false">
      <c r="A19" s="17" t="s">
        <v>280</v>
      </c>
      <c r="B19" s="17" t="s">
        <v>281</v>
      </c>
      <c r="C19" s="17" t="s">
        <v>282</v>
      </c>
      <c r="D19" s="17" t="s">
        <v>283</v>
      </c>
      <c r="E19" s="17" t="s">
        <v>284</v>
      </c>
      <c r="F19" s="17" t="s">
        <v>285</v>
      </c>
      <c r="G19" s="17" t="s">
        <v>286</v>
      </c>
      <c r="H19" s="17" t="s">
        <v>287</v>
      </c>
      <c r="I19" s="17" t="s">
        <v>288</v>
      </c>
    </row>
    <row r="20" customFormat="false" ht="34.5" hidden="false" customHeight="true" outlineLevel="0" collapsed="false">
      <c r="A20" s="50" t="s">
        <v>394</v>
      </c>
      <c r="B20" s="26" t="s">
        <v>395</v>
      </c>
      <c r="C20" s="26" t="s">
        <v>396</v>
      </c>
      <c r="D20" s="26" t="s">
        <v>397</v>
      </c>
      <c r="E20" s="26" t="s">
        <v>398</v>
      </c>
      <c r="F20" s="26" t="s">
        <v>399</v>
      </c>
      <c r="G20" s="26" t="s">
        <v>400</v>
      </c>
      <c r="H20" s="26" t="s">
        <v>401</v>
      </c>
      <c r="I20" s="26" t="s">
        <v>402</v>
      </c>
    </row>
    <row r="21" customFormat="false" ht="34.5" hidden="false" customHeight="true" outlineLevel="0" collapsed="false">
      <c r="A21" s="50" t="s">
        <v>403</v>
      </c>
      <c r="B21" s="25" t="s">
        <v>404</v>
      </c>
      <c r="C21" s="25" t="s">
        <v>405</v>
      </c>
      <c r="D21" s="25" t="s">
        <v>406</v>
      </c>
      <c r="E21" s="25" t="s">
        <v>407</v>
      </c>
      <c r="F21" s="25" t="s">
        <v>408</v>
      </c>
      <c r="G21" s="25" t="s">
        <v>400</v>
      </c>
      <c r="H21" s="25" t="s">
        <v>409</v>
      </c>
      <c r="I21" s="25" t="s">
        <v>410</v>
      </c>
    </row>
    <row r="22" customFormat="false" ht="34.5" hidden="false" customHeight="true" outlineLevel="0" collapsed="false">
      <c r="A22" s="50" t="s">
        <v>411</v>
      </c>
      <c r="B22" s="26" t="s">
        <v>412</v>
      </c>
      <c r="C22" s="26" t="s">
        <v>413</v>
      </c>
      <c r="D22" s="26" t="s">
        <v>414</v>
      </c>
      <c r="E22" s="26" t="s">
        <v>415</v>
      </c>
      <c r="F22" s="26" t="s">
        <v>416</v>
      </c>
      <c r="G22" s="26" t="s">
        <v>417</v>
      </c>
      <c r="H22" s="26" t="s">
        <v>418</v>
      </c>
      <c r="I22" s="26" t="s">
        <v>419</v>
      </c>
    </row>
    <row r="23" customFormat="false" ht="34.5" hidden="false" customHeight="true" outlineLevel="0" collapsed="false">
      <c r="A23" s="50" t="s">
        <v>420</v>
      </c>
      <c r="B23" s="25" t="s">
        <v>421</v>
      </c>
      <c r="C23" s="25" t="s">
        <v>405</v>
      </c>
      <c r="D23" s="25" t="s">
        <v>422</v>
      </c>
      <c r="E23" s="25" t="s">
        <v>423</v>
      </c>
      <c r="F23" s="25" t="s">
        <v>408</v>
      </c>
      <c r="G23" s="25" t="s">
        <v>400</v>
      </c>
      <c r="H23" s="25" t="s">
        <v>424</v>
      </c>
      <c r="I23" s="25" t="s">
        <v>425</v>
      </c>
    </row>
    <row r="24" customFormat="false" ht="34.5" hidden="false" customHeight="true" outlineLevel="0" collapsed="false">
      <c r="A24" s="50" t="s">
        <v>426</v>
      </c>
      <c r="B24" s="26" t="s">
        <v>427</v>
      </c>
      <c r="C24" s="26" t="s">
        <v>428</v>
      </c>
      <c r="D24" s="26" t="s">
        <v>429</v>
      </c>
      <c r="E24" s="26" t="s">
        <v>430</v>
      </c>
      <c r="F24" s="26" t="s">
        <v>431</v>
      </c>
      <c r="G24" s="26" t="s">
        <v>432</v>
      </c>
      <c r="H24" s="26" t="s">
        <v>433</v>
      </c>
      <c r="I24" s="26" t="s">
        <v>434</v>
      </c>
    </row>
    <row r="25" customFormat="false" ht="34.5" hidden="false" customHeight="true" outlineLevel="0" collapsed="false">
      <c r="A25" s="50" t="s">
        <v>435</v>
      </c>
      <c r="B25" s="25" t="s">
        <v>436</v>
      </c>
      <c r="C25" s="25" t="s">
        <v>437</v>
      </c>
      <c r="D25" s="25" t="s">
        <v>438</v>
      </c>
      <c r="E25" s="25" t="s">
        <v>439</v>
      </c>
      <c r="F25" s="25" t="s">
        <v>440</v>
      </c>
      <c r="G25" s="25" t="s">
        <v>417</v>
      </c>
      <c r="H25" s="25" t="s">
        <v>441</v>
      </c>
      <c r="I25" s="25" t="s">
        <v>442</v>
      </c>
    </row>
    <row r="26" customFormat="false" ht="34.5" hidden="false" customHeight="true" outlineLevel="0" collapsed="false">
      <c r="A26" s="50" t="s">
        <v>443</v>
      </c>
      <c r="B26" s="26" t="s">
        <v>444</v>
      </c>
      <c r="C26" s="26" t="s">
        <v>445</v>
      </c>
      <c r="D26" s="26" t="s">
        <v>446</v>
      </c>
      <c r="E26" s="26" t="s">
        <v>447</v>
      </c>
      <c r="F26" s="26" t="s">
        <v>448</v>
      </c>
      <c r="G26" s="26" t="s">
        <v>400</v>
      </c>
      <c r="H26" s="26" t="s">
        <v>449</v>
      </c>
      <c r="I26" s="26" t="s">
        <v>450</v>
      </c>
    </row>
    <row r="27" customFormat="false" ht="34.5" hidden="false" customHeight="true" outlineLevel="0" collapsed="false">
      <c r="A27" s="50" t="s">
        <v>451</v>
      </c>
      <c r="B27" s="25" t="s">
        <v>452</v>
      </c>
      <c r="C27" s="25" t="s">
        <v>453</v>
      </c>
      <c r="D27" s="25" t="s">
        <v>454</v>
      </c>
      <c r="E27" s="25" t="s">
        <v>455</v>
      </c>
      <c r="F27" s="25" t="s">
        <v>456</v>
      </c>
      <c r="G27" s="25" t="s">
        <v>457</v>
      </c>
      <c r="H27" s="25" t="s">
        <v>458</v>
      </c>
      <c r="I27" s="25" t="s">
        <v>459</v>
      </c>
    </row>
    <row r="28" customFormat="false" ht="34.5" hidden="false" customHeight="true" outlineLevel="0" collapsed="false">
      <c r="A28" s="50" t="s">
        <v>460</v>
      </c>
      <c r="B28" s="26" t="s">
        <v>461</v>
      </c>
      <c r="C28" s="26" t="s">
        <v>462</v>
      </c>
      <c r="D28" s="26" t="s">
        <v>463</v>
      </c>
      <c r="E28" s="26" t="s">
        <v>464</v>
      </c>
      <c r="F28" s="26" t="s">
        <v>465</v>
      </c>
      <c r="G28" s="26" t="s">
        <v>465</v>
      </c>
      <c r="H28" s="26" t="s">
        <v>466</v>
      </c>
      <c r="I28" s="26" t="s">
        <v>467</v>
      </c>
    </row>
    <row r="29" customFormat="false" ht="34.5" hidden="false" customHeight="true" outlineLevel="0" collapsed="false">
      <c r="A29" s="50" t="s">
        <v>468</v>
      </c>
      <c r="B29" s="25" t="s">
        <v>469</v>
      </c>
      <c r="C29" s="25" t="s">
        <v>470</v>
      </c>
      <c r="D29" s="25" t="s">
        <v>471</v>
      </c>
      <c r="E29" s="25" t="s">
        <v>472</v>
      </c>
      <c r="F29" s="25" t="s">
        <v>473</v>
      </c>
      <c r="G29" s="25" t="s">
        <v>474</v>
      </c>
      <c r="H29" s="25" t="s">
        <v>475</v>
      </c>
      <c r="I29" s="25" t="s">
        <v>476</v>
      </c>
    </row>
    <row r="30" customFormat="false" ht="34.5" hidden="false" customHeight="true" outlineLevel="0" collapsed="false">
      <c r="A30" s="50" t="s">
        <v>477</v>
      </c>
      <c r="B30" s="26" t="s">
        <v>478</v>
      </c>
      <c r="C30" s="26" t="s">
        <v>479</v>
      </c>
      <c r="D30" s="26" t="s">
        <v>480</v>
      </c>
      <c r="E30" s="26" t="s">
        <v>293</v>
      </c>
      <c r="F30" s="26" t="s">
        <v>481</v>
      </c>
      <c r="G30" s="26" t="s">
        <v>417</v>
      </c>
      <c r="H30" s="26" t="s">
        <v>482</v>
      </c>
      <c r="I30" s="26" t="s">
        <v>483</v>
      </c>
    </row>
    <row r="32" customFormat="false" ht="15" hidden="false" customHeight="true" outlineLevel="0" collapsed="false">
      <c r="A32" s="52" t="s">
        <v>484</v>
      </c>
      <c r="B32" s="52"/>
      <c r="C32" s="52"/>
      <c r="D32" s="52"/>
      <c r="E32" s="52"/>
      <c r="F32" s="52"/>
      <c r="G32" s="52"/>
      <c r="H32" s="52"/>
      <c r="I32" s="52"/>
    </row>
    <row r="33" customFormat="false" ht="27.75" hidden="false" customHeight="true" outlineLevel="0" collapsed="false">
      <c r="A33" s="53" t="s">
        <v>485</v>
      </c>
      <c r="B33" s="54" t="s">
        <v>486</v>
      </c>
      <c r="C33" s="54"/>
      <c r="D33" s="55" t="s">
        <v>487</v>
      </c>
      <c r="E33" s="55"/>
      <c r="F33" s="55"/>
      <c r="G33" s="55"/>
      <c r="H33" s="55"/>
      <c r="I33" s="55"/>
    </row>
    <row r="34" customFormat="false" ht="27.75" hidden="false" customHeight="true" outlineLevel="0" collapsed="false">
      <c r="A34" s="56" t="s">
        <v>488</v>
      </c>
      <c r="B34" s="57" t="s">
        <v>489</v>
      </c>
      <c r="C34" s="57"/>
      <c r="D34" s="58" t="s">
        <v>490</v>
      </c>
      <c r="E34" s="58"/>
      <c r="F34" s="58"/>
      <c r="G34" s="58"/>
      <c r="H34" s="58"/>
      <c r="I34" s="58"/>
    </row>
    <row r="35" customFormat="false" ht="27.75" hidden="false" customHeight="true" outlineLevel="0" collapsed="false">
      <c r="A35" s="53" t="s">
        <v>491</v>
      </c>
      <c r="B35" s="54" t="s">
        <v>492</v>
      </c>
      <c r="C35" s="54"/>
      <c r="D35" s="55" t="s">
        <v>493</v>
      </c>
      <c r="E35" s="55"/>
      <c r="F35" s="55"/>
      <c r="G35" s="55"/>
      <c r="H35" s="55"/>
      <c r="I35" s="55"/>
    </row>
    <row r="36" customFormat="false" ht="27.75" hidden="false" customHeight="true" outlineLevel="0" collapsed="false">
      <c r="A36" s="56" t="s">
        <v>494</v>
      </c>
      <c r="B36" s="57" t="s">
        <v>495</v>
      </c>
      <c r="C36" s="57"/>
      <c r="D36" s="58" t="s">
        <v>496</v>
      </c>
      <c r="E36" s="58"/>
      <c r="F36" s="58"/>
      <c r="G36" s="58"/>
      <c r="H36" s="58"/>
      <c r="I36" s="58"/>
    </row>
    <row r="37" customFormat="false" ht="27.75" hidden="false" customHeight="true" outlineLevel="0" collapsed="false">
      <c r="A37" s="53" t="s">
        <v>497</v>
      </c>
      <c r="B37" s="54" t="s">
        <v>498</v>
      </c>
      <c r="C37" s="54"/>
      <c r="D37" s="55" t="s">
        <v>499</v>
      </c>
      <c r="E37" s="55"/>
      <c r="F37" s="55"/>
      <c r="G37" s="55"/>
      <c r="H37" s="55"/>
      <c r="I37" s="55"/>
    </row>
    <row r="38" customFormat="false" ht="27.75" hidden="false" customHeight="true" outlineLevel="0" collapsed="false">
      <c r="A38" s="56" t="s">
        <v>500</v>
      </c>
      <c r="B38" s="57" t="s">
        <v>501</v>
      </c>
      <c r="C38" s="57"/>
      <c r="D38" s="58" t="s">
        <v>502</v>
      </c>
      <c r="E38" s="58"/>
      <c r="F38" s="58"/>
      <c r="G38" s="58"/>
      <c r="H38" s="58"/>
      <c r="I38" s="58"/>
    </row>
  </sheetData>
  <mergeCells count="16">
    <mergeCell ref="A1:I1"/>
    <mergeCell ref="A2:I2"/>
    <mergeCell ref="A18:I18"/>
    <mergeCell ref="A32:I32"/>
    <mergeCell ref="B33:C33"/>
    <mergeCell ref="D33:I33"/>
    <mergeCell ref="B34:C34"/>
    <mergeCell ref="D34:I34"/>
    <mergeCell ref="B35:C35"/>
    <mergeCell ref="D35:I35"/>
    <mergeCell ref="B36:C36"/>
    <mergeCell ref="D36:I36"/>
    <mergeCell ref="B37:C37"/>
    <mergeCell ref="D37:I37"/>
    <mergeCell ref="B38:C38"/>
    <mergeCell ref="D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6" min="4" style="1" width="16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10" min="9" style="1" width="14"/>
    <col collapsed="false" customWidth="true" hidden="false" outlineLevel="0" max="11" min="11" style="1" width="42"/>
  </cols>
  <sheetData>
    <row r="1" customFormat="false" ht="27.75" hidden="false" customHeight="true" outlineLevel="0" collapsed="false">
      <c r="A1" s="59" t="s">
        <v>503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customFormat="false" ht="21.75" hidden="false" customHeight="true" outlineLevel="0" collapsed="false">
      <c r="A2" s="60" t="s">
        <v>504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customFormat="false" ht="31.5" hidden="false" customHeight="true" outlineLevel="0" collapsed="false">
      <c r="A3" s="17" t="s">
        <v>505</v>
      </c>
      <c r="B3" s="17" t="s">
        <v>506</v>
      </c>
      <c r="C3" s="17" t="s">
        <v>507</v>
      </c>
      <c r="D3" s="17" t="s">
        <v>508</v>
      </c>
      <c r="E3" s="17" t="s">
        <v>509</v>
      </c>
      <c r="F3" s="17" t="s">
        <v>510</v>
      </c>
      <c r="G3" s="17" t="s">
        <v>511</v>
      </c>
      <c r="H3" s="17" t="s">
        <v>512</v>
      </c>
      <c r="I3" s="17" t="s">
        <v>513</v>
      </c>
      <c r="J3" s="17" t="s">
        <v>514</v>
      </c>
      <c r="K3" s="17" t="s">
        <v>515</v>
      </c>
    </row>
    <row r="4" customFormat="false" ht="19.5" hidden="false" customHeight="true" outlineLevel="0" collapsed="false">
      <c r="A4" s="61" t="s">
        <v>516</v>
      </c>
      <c r="B4" s="61"/>
      <c r="C4" s="61"/>
      <c r="D4" s="61"/>
      <c r="E4" s="61"/>
      <c r="F4" s="61"/>
      <c r="G4" s="61"/>
      <c r="H4" s="61"/>
      <c r="I4" s="61"/>
      <c r="J4" s="61"/>
      <c r="K4" s="61"/>
    </row>
    <row r="5" customFormat="false" ht="37.5" hidden="false" customHeight="true" outlineLevel="0" collapsed="false">
      <c r="A5" s="62" t="s">
        <v>517</v>
      </c>
      <c r="B5" s="25" t="s">
        <v>518</v>
      </c>
      <c r="C5" s="25" t="s">
        <v>519</v>
      </c>
      <c r="D5" s="25" t="s">
        <v>520</v>
      </c>
      <c r="E5" s="25" t="s">
        <v>521</v>
      </c>
      <c r="F5" s="25" t="s">
        <v>522</v>
      </c>
      <c r="G5" s="25" t="s">
        <v>523</v>
      </c>
      <c r="H5" s="25" t="s">
        <v>524</v>
      </c>
      <c r="I5" s="25" t="s">
        <v>525</v>
      </c>
      <c r="J5" s="25" t="s">
        <v>525</v>
      </c>
      <c r="K5" s="25" t="s">
        <v>526</v>
      </c>
    </row>
    <row r="6" customFormat="false" ht="37.5" hidden="false" customHeight="true" outlineLevel="0" collapsed="false">
      <c r="A6" s="62" t="s">
        <v>527</v>
      </c>
      <c r="B6" s="26" t="s">
        <v>528</v>
      </c>
      <c r="C6" s="26" t="s">
        <v>529</v>
      </c>
      <c r="D6" s="26" t="s">
        <v>530</v>
      </c>
      <c r="E6" s="26" t="s">
        <v>531</v>
      </c>
      <c r="F6" s="26" t="s">
        <v>532</v>
      </c>
      <c r="G6" s="26" t="s">
        <v>533</v>
      </c>
      <c r="H6" s="26" t="s">
        <v>530</v>
      </c>
      <c r="I6" s="26" t="s">
        <v>525</v>
      </c>
      <c r="J6" s="26" t="s">
        <v>525</v>
      </c>
      <c r="K6" s="26" t="s">
        <v>534</v>
      </c>
    </row>
    <row r="7" customFormat="false" ht="37.5" hidden="false" customHeight="true" outlineLevel="0" collapsed="false">
      <c r="A7" s="62" t="s">
        <v>535</v>
      </c>
      <c r="B7" s="25" t="s">
        <v>536</v>
      </c>
      <c r="C7" s="25" t="s">
        <v>537</v>
      </c>
      <c r="D7" s="25" t="s">
        <v>538</v>
      </c>
      <c r="E7" s="25" t="s">
        <v>539</v>
      </c>
      <c r="F7" s="25" t="s">
        <v>540</v>
      </c>
      <c r="G7" s="25" t="s">
        <v>540</v>
      </c>
      <c r="H7" s="25" t="s">
        <v>538</v>
      </c>
      <c r="I7" s="25" t="s">
        <v>525</v>
      </c>
      <c r="J7" s="25" t="s">
        <v>525</v>
      </c>
      <c r="K7" s="25" t="s">
        <v>541</v>
      </c>
    </row>
    <row r="8" customFormat="false" ht="37.5" hidden="false" customHeight="true" outlineLevel="0" collapsed="false">
      <c r="A8" s="62" t="s">
        <v>542</v>
      </c>
      <c r="B8" s="26" t="s">
        <v>543</v>
      </c>
      <c r="C8" s="26" t="s">
        <v>544</v>
      </c>
      <c r="D8" s="26" t="s">
        <v>545</v>
      </c>
      <c r="E8" s="26" t="s">
        <v>532</v>
      </c>
      <c r="F8" s="26" t="s">
        <v>532</v>
      </c>
      <c r="G8" s="26" t="s">
        <v>532</v>
      </c>
      <c r="H8" s="26" t="s">
        <v>532</v>
      </c>
      <c r="I8" s="26" t="s">
        <v>525</v>
      </c>
      <c r="J8" s="26" t="s">
        <v>525</v>
      </c>
      <c r="K8" s="26" t="s">
        <v>546</v>
      </c>
    </row>
    <row r="9" customFormat="false" ht="37.5" hidden="false" customHeight="true" outlineLevel="0" collapsed="false">
      <c r="A9" s="62" t="s">
        <v>547</v>
      </c>
      <c r="B9" s="25" t="s">
        <v>548</v>
      </c>
      <c r="C9" s="25" t="s">
        <v>549</v>
      </c>
      <c r="D9" s="25" t="s">
        <v>550</v>
      </c>
      <c r="E9" s="25" t="s">
        <v>551</v>
      </c>
      <c r="F9" s="25" t="s">
        <v>530</v>
      </c>
      <c r="G9" s="25" t="s">
        <v>552</v>
      </c>
      <c r="H9" s="25" t="s">
        <v>553</v>
      </c>
      <c r="I9" s="25" t="s">
        <v>525</v>
      </c>
      <c r="J9" s="25" t="s">
        <v>525</v>
      </c>
      <c r="K9" s="25" t="s">
        <v>554</v>
      </c>
    </row>
    <row r="10" customFormat="false" ht="37.5" hidden="false" customHeight="true" outlineLevel="0" collapsed="false">
      <c r="A10" s="62" t="s">
        <v>555</v>
      </c>
      <c r="B10" s="26" t="s">
        <v>556</v>
      </c>
      <c r="C10" s="26" t="s">
        <v>557</v>
      </c>
      <c r="D10" s="26" t="s">
        <v>558</v>
      </c>
      <c r="E10" s="26" t="s">
        <v>559</v>
      </c>
      <c r="F10" s="26" t="s">
        <v>560</v>
      </c>
      <c r="G10" s="26" t="s">
        <v>561</v>
      </c>
      <c r="H10" s="26" t="s">
        <v>558</v>
      </c>
      <c r="I10" s="26" t="s">
        <v>525</v>
      </c>
      <c r="J10" s="26" t="s">
        <v>525</v>
      </c>
      <c r="K10" s="26" t="s">
        <v>562</v>
      </c>
    </row>
    <row r="11" customFormat="false" ht="37.5" hidden="false" customHeight="true" outlineLevel="0" collapsed="false">
      <c r="A11" s="62" t="s">
        <v>563</v>
      </c>
      <c r="B11" s="25" t="s">
        <v>564</v>
      </c>
      <c r="C11" s="25" t="s">
        <v>565</v>
      </c>
      <c r="D11" s="25" t="s">
        <v>566</v>
      </c>
      <c r="E11" s="25" t="s">
        <v>545</v>
      </c>
      <c r="F11" s="25" t="s">
        <v>532</v>
      </c>
      <c r="G11" s="25" t="s">
        <v>533</v>
      </c>
      <c r="H11" s="25" t="s">
        <v>566</v>
      </c>
      <c r="I11" s="25" t="s">
        <v>525</v>
      </c>
      <c r="J11" s="25" t="s">
        <v>525</v>
      </c>
      <c r="K11" s="25" t="s">
        <v>567</v>
      </c>
    </row>
    <row r="12" customFormat="false" ht="37.5" hidden="false" customHeight="true" outlineLevel="0" collapsed="false">
      <c r="A12" s="62" t="s">
        <v>568</v>
      </c>
      <c r="B12" s="26" t="s">
        <v>569</v>
      </c>
      <c r="C12" s="26" t="s">
        <v>570</v>
      </c>
      <c r="D12" s="26" t="s">
        <v>571</v>
      </c>
      <c r="E12" s="26" t="s">
        <v>571</v>
      </c>
      <c r="F12" s="26" t="s">
        <v>571</v>
      </c>
      <c r="G12" s="26" t="s">
        <v>571</v>
      </c>
      <c r="H12" s="26" t="s">
        <v>571</v>
      </c>
      <c r="I12" s="26" t="s">
        <v>525</v>
      </c>
      <c r="J12" s="26" t="s">
        <v>525</v>
      </c>
      <c r="K12" s="26" t="s">
        <v>572</v>
      </c>
    </row>
    <row r="13" customFormat="false" ht="37.5" hidden="false" customHeight="true" outlineLevel="0" collapsed="false">
      <c r="A13" s="62" t="s">
        <v>573</v>
      </c>
      <c r="B13" s="25" t="s">
        <v>574</v>
      </c>
      <c r="C13" s="25" t="s">
        <v>565</v>
      </c>
      <c r="D13" s="25" t="s">
        <v>566</v>
      </c>
      <c r="E13" s="25" t="s">
        <v>530</v>
      </c>
      <c r="F13" s="25" t="s">
        <v>532</v>
      </c>
      <c r="G13" s="25" t="s">
        <v>552</v>
      </c>
      <c r="H13" s="25" t="s">
        <v>553</v>
      </c>
      <c r="I13" s="25" t="s">
        <v>525</v>
      </c>
      <c r="J13" s="25" t="s">
        <v>525</v>
      </c>
      <c r="K13" s="25" t="s">
        <v>575</v>
      </c>
    </row>
    <row r="14" customFormat="false" ht="37.5" hidden="false" customHeight="true" outlineLevel="0" collapsed="false">
      <c r="A14" s="62" t="s">
        <v>576</v>
      </c>
      <c r="B14" s="26" t="s">
        <v>577</v>
      </c>
      <c r="C14" s="26" t="s">
        <v>565</v>
      </c>
      <c r="D14" s="26" t="s">
        <v>530</v>
      </c>
      <c r="E14" s="26" t="s">
        <v>532</v>
      </c>
      <c r="F14" s="26" t="s">
        <v>578</v>
      </c>
      <c r="G14" s="26" t="s">
        <v>579</v>
      </c>
      <c r="H14" s="26" t="s">
        <v>530</v>
      </c>
      <c r="I14" s="26" t="s">
        <v>525</v>
      </c>
      <c r="J14" s="26" t="s">
        <v>525</v>
      </c>
      <c r="K14" s="26" t="s">
        <v>580</v>
      </c>
    </row>
    <row r="15" customFormat="false" ht="37.5" hidden="false" customHeight="true" outlineLevel="0" collapsed="false">
      <c r="A15" s="62" t="s">
        <v>581</v>
      </c>
      <c r="B15" s="25" t="s">
        <v>582</v>
      </c>
      <c r="C15" s="25" t="s">
        <v>583</v>
      </c>
      <c r="D15" s="25" t="s">
        <v>531</v>
      </c>
      <c r="E15" s="25" t="s">
        <v>532</v>
      </c>
      <c r="F15" s="25" t="s">
        <v>584</v>
      </c>
      <c r="G15" s="25" t="s">
        <v>585</v>
      </c>
      <c r="H15" s="25" t="s">
        <v>586</v>
      </c>
      <c r="I15" s="25" t="s">
        <v>525</v>
      </c>
      <c r="J15" s="25" t="s">
        <v>525</v>
      </c>
      <c r="K15" s="25" t="s">
        <v>587</v>
      </c>
    </row>
    <row r="16" customFormat="false" ht="19.5" hidden="false" customHeight="true" outlineLevel="0" collapsed="false">
      <c r="A16" s="61" t="s">
        <v>588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</row>
    <row r="17" customFormat="false" ht="37.5" hidden="false" customHeight="true" outlineLevel="0" collapsed="false">
      <c r="A17" s="62" t="s">
        <v>589</v>
      </c>
      <c r="B17" s="25" t="s">
        <v>590</v>
      </c>
      <c r="C17" s="25" t="s">
        <v>591</v>
      </c>
      <c r="D17" s="25" t="s">
        <v>592</v>
      </c>
      <c r="E17" s="25" t="s">
        <v>592</v>
      </c>
      <c r="F17" s="25" t="s">
        <v>593</v>
      </c>
      <c r="G17" s="25" t="s">
        <v>594</v>
      </c>
      <c r="H17" s="25" t="s">
        <v>592</v>
      </c>
      <c r="I17" s="25" t="s">
        <v>595</v>
      </c>
      <c r="J17" s="25" t="s">
        <v>596</v>
      </c>
      <c r="K17" s="25" t="s">
        <v>597</v>
      </c>
    </row>
    <row r="18" customFormat="false" ht="37.5" hidden="false" customHeight="true" outlineLevel="0" collapsed="false">
      <c r="A18" s="62" t="s">
        <v>598</v>
      </c>
      <c r="B18" s="26" t="s">
        <v>599</v>
      </c>
      <c r="C18" s="26" t="s">
        <v>600</v>
      </c>
      <c r="D18" s="26" t="s">
        <v>601</v>
      </c>
      <c r="E18" s="26" t="s">
        <v>602</v>
      </c>
      <c r="F18" s="26" t="s">
        <v>603</v>
      </c>
      <c r="G18" s="26" t="s">
        <v>604</v>
      </c>
      <c r="H18" s="26" t="s">
        <v>605</v>
      </c>
      <c r="I18" s="26" t="s">
        <v>606</v>
      </c>
      <c r="J18" s="26" t="s">
        <v>607</v>
      </c>
      <c r="K18" s="26" t="s">
        <v>608</v>
      </c>
    </row>
    <row r="19" customFormat="false" ht="37.5" hidden="false" customHeight="true" outlineLevel="0" collapsed="false">
      <c r="A19" s="62" t="s">
        <v>609</v>
      </c>
      <c r="B19" s="25" t="s">
        <v>610</v>
      </c>
      <c r="C19" s="25" t="s">
        <v>611</v>
      </c>
      <c r="D19" s="25" t="s">
        <v>571</v>
      </c>
      <c r="E19" s="25" t="s">
        <v>612</v>
      </c>
      <c r="F19" s="25" t="s">
        <v>613</v>
      </c>
      <c r="G19" s="25" t="s">
        <v>571</v>
      </c>
      <c r="H19" s="25" t="s">
        <v>571</v>
      </c>
      <c r="I19" s="25" t="s">
        <v>614</v>
      </c>
      <c r="J19" s="25" t="s">
        <v>525</v>
      </c>
      <c r="K19" s="25" t="s">
        <v>615</v>
      </c>
    </row>
    <row r="20" customFormat="false" ht="37.5" hidden="false" customHeight="true" outlineLevel="0" collapsed="false">
      <c r="A20" s="62" t="s">
        <v>616</v>
      </c>
      <c r="B20" s="26" t="s">
        <v>617</v>
      </c>
      <c r="C20" s="26" t="s">
        <v>618</v>
      </c>
      <c r="D20" s="26" t="s">
        <v>601</v>
      </c>
      <c r="E20" s="26" t="s">
        <v>601</v>
      </c>
      <c r="F20" s="26" t="s">
        <v>601</v>
      </c>
      <c r="G20" s="26" t="s">
        <v>619</v>
      </c>
      <c r="H20" s="26" t="s">
        <v>620</v>
      </c>
      <c r="I20" s="26" t="s">
        <v>621</v>
      </c>
      <c r="J20" s="26" t="s">
        <v>607</v>
      </c>
      <c r="K20" s="26" t="s">
        <v>622</v>
      </c>
    </row>
    <row r="21" customFormat="false" ht="19.5" hidden="false" customHeight="true" outlineLevel="0" collapsed="false">
      <c r="A21" s="61" t="s">
        <v>623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</row>
    <row r="22" customFormat="false" ht="37.5" hidden="false" customHeight="true" outlineLevel="0" collapsed="false">
      <c r="A22" s="62" t="s">
        <v>624</v>
      </c>
      <c r="B22" s="26" t="s">
        <v>625</v>
      </c>
      <c r="C22" s="26" t="s">
        <v>626</v>
      </c>
      <c r="D22" s="26" t="s">
        <v>627</v>
      </c>
      <c r="E22" s="26" t="s">
        <v>627</v>
      </c>
      <c r="F22" s="26" t="s">
        <v>628</v>
      </c>
      <c r="G22" s="26" t="s">
        <v>629</v>
      </c>
      <c r="H22" s="26" t="s">
        <v>630</v>
      </c>
      <c r="I22" s="26" t="s">
        <v>525</v>
      </c>
      <c r="J22" s="26" t="s">
        <v>631</v>
      </c>
      <c r="K22" s="26" t="s">
        <v>632</v>
      </c>
    </row>
    <row r="23" customFormat="false" ht="37.5" hidden="false" customHeight="true" outlineLevel="0" collapsed="false">
      <c r="A23" s="62" t="s">
        <v>633</v>
      </c>
      <c r="B23" s="25" t="s">
        <v>634</v>
      </c>
      <c r="C23" s="25" t="s">
        <v>635</v>
      </c>
      <c r="D23" s="25" t="s">
        <v>636</v>
      </c>
      <c r="E23" s="25" t="s">
        <v>637</v>
      </c>
      <c r="F23" s="25" t="s">
        <v>638</v>
      </c>
      <c r="G23" s="25" t="s">
        <v>639</v>
      </c>
      <c r="H23" s="25" t="s">
        <v>640</v>
      </c>
      <c r="I23" s="25" t="s">
        <v>641</v>
      </c>
      <c r="J23" s="25" t="s">
        <v>631</v>
      </c>
      <c r="K23" s="25" t="s">
        <v>642</v>
      </c>
    </row>
    <row r="24" customFormat="false" ht="37.5" hidden="false" customHeight="true" outlineLevel="0" collapsed="false">
      <c r="A24" s="62" t="s">
        <v>643</v>
      </c>
      <c r="B24" s="26" t="s">
        <v>644</v>
      </c>
      <c r="C24" s="26" t="s">
        <v>645</v>
      </c>
      <c r="D24" s="26" t="s">
        <v>571</v>
      </c>
      <c r="E24" s="26" t="s">
        <v>571</v>
      </c>
      <c r="F24" s="26" t="s">
        <v>571</v>
      </c>
      <c r="G24" s="26" t="s">
        <v>571</v>
      </c>
      <c r="H24" s="26" t="s">
        <v>571</v>
      </c>
      <c r="I24" s="26" t="s">
        <v>525</v>
      </c>
      <c r="J24" s="26" t="s">
        <v>525</v>
      </c>
      <c r="K24" s="26" t="s">
        <v>646</v>
      </c>
    </row>
    <row r="25" customFormat="false" ht="19.5" hidden="false" customHeight="true" outlineLevel="0" collapsed="false">
      <c r="A25" s="61" t="s">
        <v>647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</row>
    <row r="26" customFormat="false" ht="37.5" hidden="false" customHeight="true" outlineLevel="0" collapsed="false">
      <c r="A26" s="62" t="s">
        <v>648</v>
      </c>
      <c r="B26" s="26" t="s">
        <v>649</v>
      </c>
      <c r="C26" s="26" t="s">
        <v>650</v>
      </c>
      <c r="D26" s="26" t="s">
        <v>651</v>
      </c>
      <c r="E26" s="26" t="s">
        <v>652</v>
      </c>
      <c r="F26" s="26" t="s">
        <v>653</v>
      </c>
      <c r="G26" s="26" t="s">
        <v>654</v>
      </c>
      <c r="H26" s="26" t="s">
        <v>655</v>
      </c>
      <c r="I26" s="26" t="s">
        <v>656</v>
      </c>
      <c r="J26" s="26" t="s">
        <v>631</v>
      </c>
      <c r="K26" s="26" t="s">
        <v>657</v>
      </c>
    </row>
    <row r="27" customFormat="false" ht="37.5" hidden="false" customHeight="true" outlineLevel="0" collapsed="false">
      <c r="A27" s="62" t="s">
        <v>658</v>
      </c>
      <c r="B27" s="25" t="s">
        <v>659</v>
      </c>
      <c r="C27" s="25" t="s">
        <v>660</v>
      </c>
      <c r="D27" s="25" t="s">
        <v>661</v>
      </c>
      <c r="E27" s="25" t="s">
        <v>662</v>
      </c>
      <c r="F27" s="25" t="s">
        <v>661</v>
      </c>
      <c r="G27" s="25" t="s">
        <v>663</v>
      </c>
      <c r="H27" s="25" t="s">
        <v>664</v>
      </c>
      <c r="I27" s="25" t="s">
        <v>596</v>
      </c>
      <c r="J27" s="25" t="s">
        <v>631</v>
      </c>
      <c r="K27" s="25" t="s">
        <v>665</v>
      </c>
    </row>
    <row r="28" customFormat="false" ht="19.5" hidden="false" customHeight="true" outlineLevel="0" collapsed="false">
      <c r="A28" s="61" t="s">
        <v>666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</row>
    <row r="29" customFormat="false" ht="37.5" hidden="false" customHeight="true" outlineLevel="0" collapsed="false">
      <c r="A29" s="62" t="s">
        <v>667</v>
      </c>
      <c r="B29" s="25" t="s">
        <v>668</v>
      </c>
      <c r="C29" s="25" t="s">
        <v>669</v>
      </c>
      <c r="D29" s="25" t="s">
        <v>670</v>
      </c>
      <c r="E29" s="25" t="s">
        <v>671</v>
      </c>
      <c r="F29" s="25" t="s">
        <v>672</v>
      </c>
      <c r="G29" s="25" t="s">
        <v>673</v>
      </c>
      <c r="H29" s="25" t="s">
        <v>671</v>
      </c>
      <c r="I29" s="25" t="s">
        <v>525</v>
      </c>
      <c r="J29" s="25" t="s">
        <v>525</v>
      </c>
      <c r="K29" s="25" t="s">
        <v>674</v>
      </c>
    </row>
    <row r="30" customFormat="false" ht="37.5" hidden="false" customHeight="true" outlineLevel="0" collapsed="false">
      <c r="A30" s="62" t="s">
        <v>675</v>
      </c>
      <c r="B30" s="26" t="s">
        <v>676</v>
      </c>
      <c r="C30" s="26" t="s">
        <v>677</v>
      </c>
      <c r="D30" s="26" t="s">
        <v>532</v>
      </c>
      <c r="E30" s="26" t="s">
        <v>678</v>
      </c>
      <c r="F30" s="26" t="s">
        <v>679</v>
      </c>
      <c r="G30" s="26" t="s">
        <v>680</v>
      </c>
      <c r="H30" s="26" t="s">
        <v>532</v>
      </c>
      <c r="I30" s="26" t="s">
        <v>525</v>
      </c>
      <c r="J30" s="26" t="s">
        <v>525</v>
      </c>
      <c r="K30" s="26" t="s">
        <v>681</v>
      </c>
    </row>
    <row r="31" customFormat="false" ht="19.5" hidden="false" customHeight="true" outlineLevel="0" collapsed="false">
      <c r="A31" s="61" t="s">
        <v>682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customFormat="false" ht="37.5" hidden="false" customHeight="true" outlineLevel="0" collapsed="false">
      <c r="A32" s="62" t="s">
        <v>683</v>
      </c>
      <c r="B32" s="26" t="s">
        <v>684</v>
      </c>
      <c r="C32" s="26" t="s">
        <v>685</v>
      </c>
      <c r="D32" s="26" t="s">
        <v>571</v>
      </c>
      <c r="E32" s="26" t="s">
        <v>571</v>
      </c>
      <c r="F32" s="26" t="s">
        <v>686</v>
      </c>
      <c r="G32" s="26" t="s">
        <v>604</v>
      </c>
      <c r="H32" s="26" t="s">
        <v>571</v>
      </c>
      <c r="I32" s="26" t="s">
        <v>525</v>
      </c>
      <c r="J32" s="26" t="s">
        <v>525</v>
      </c>
      <c r="K32" s="26" t="s">
        <v>687</v>
      </c>
    </row>
    <row r="33" customFormat="false" ht="37.5" hidden="false" customHeight="true" outlineLevel="0" collapsed="false">
      <c r="A33" s="62" t="s">
        <v>688</v>
      </c>
      <c r="B33" s="25" t="s">
        <v>689</v>
      </c>
      <c r="C33" s="25" t="s">
        <v>690</v>
      </c>
      <c r="D33" s="25" t="s">
        <v>571</v>
      </c>
      <c r="E33" s="25" t="s">
        <v>571</v>
      </c>
      <c r="F33" s="25" t="s">
        <v>571</v>
      </c>
      <c r="G33" s="25" t="s">
        <v>571</v>
      </c>
      <c r="H33" s="25" t="s">
        <v>571</v>
      </c>
      <c r="I33" s="25" t="s">
        <v>525</v>
      </c>
      <c r="J33" s="25" t="s">
        <v>525</v>
      </c>
      <c r="K33" s="25" t="s">
        <v>691</v>
      </c>
    </row>
    <row r="34" customFormat="false" ht="37.5" hidden="false" customHeight="true" outlineLevel="0" collapsed="false">
      <c r="A34" s="62" t="s">
        <v>692</v>
      </c>
      <c r="B34" s="26" t="s">
        <v>693</v>
      </c>
      <c r="C34" s="26" t="s">
        <v>694</v>
      </c>
      <c r="D34" s="26" t="s">
        <v>695</v>
      </c>
      <c r="E34" s="26" t="s">
        <v>696</v>
      </c>
      <c r="F34" s="26" t="s">
        <v>697</v>
      </c>
      <c r="G34" s="26" t="s">
        <v>698</v>
      </c>
      <c r="H34" s="26" t="s">
        <v>699</v>
      </c>
      <c r="I34" s="26" t="s">
        <v>525</v>
      </c>
      <c r="J34" s="26" t="s">
        <v>700</v>
      </c>
      <c r="K34" s="26" t="s">
        <v>701</v>
      </c>
    </row>
    <row r="35" customFormat="false" ht="19.5" hidden="false" customHeight="true" outlineLevel="0" collapsed="false">
      <c r="A35" s="61" t="s">
        <v>702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</row>
    <row r="36" customFormat="false" ht="37.5" hidden="false" customHeight="true" outlineLevel="0" collapsed="false">
      <c r="A36" s="62" t="s">
        <v>703</v>
      </c>
      <c r="B36" s="26" t="s">
        <v>704</v>
      </c>
      <c r="C36" s="26" t="s">
        <v>705</v>
      </c>
      <c r="D36" s="26" t="s">
        <v>706</v>
      </c>
      <c r="E36" s="26" t="s">
        <v>672</v>
      </c>
      <c r="F36" s="26" t="s">
        <v>707</v>
      </c>
      <c r="G36" s="26" t="s">
        <v>708</v>
      </c>
      <c r="H36" s="26" t="s">
        <v>709</v>
      </c>
      <c r="I36" s="26" t="s">
        <v>525</v>
      </c>
      <c r="J36" s="26" t="s">
        <v>525</v>
      </c>
      <c r="K36" s="26" t="s">
        <v>710</v>
      </c>
    </row>
    <row r="37" customFormat="false" ht="37.5" hidden="false" customHeight="true" outlineLevel="0" collapsed="false">
      <c r="A37" s="62" t="s">
        <v>711</v>
      </c>
      <c r="B37" s="25" t="s">
        <v>712</v>
      </c>
      <c r="C37" s="25" t="s">
        <v>713</v>
      </c>
      <c r="D37" s="25" t="s">
        <v>571</v>
      </c>
      <c r="E37" s="25" t="s">
        <v>571</v>
      </c>
      <c r="F37" s="25" t="s">
        <v>571</v>
      </c>
      <c r="G37" s="25" t="s">
        <v>571</v>
      </c>
      <c r="H37" s="25" t="s">
        <v>571</v>
      </c>
      <c r="I37" s="25" t="s">
        <v>525</v>
      </c>
      <c r="J37" s="25" t="s">
        <v>525</v>
      </c>
      <c r="K37" s="25" t="s">
        <v>714</v>
      </c>
    </row>
    <row r="38" customFormat="false" ht="37.5" hidden="false" customHeight="true" outlineLevel="0" collapsed="false">
      <c r="A38" s="62" t="s">
        <v>715</v>
      </c>
      <c r="B38" s="26" t="s">
        <v>716</v>
      </c>
      <c r="C38" s="26" t="s">
        <v>717</v>
      </c>
      <c r="D38" s="26" t="s">
        <v>718</v>
      </c>
      <c r="E38" s="26" t="s">
        <v>719</v>
      </c>
      <c r="F38" s="26" t="s">
        <v>720</v>
      </c>
      <c r="G38" s="26" t="s">
        <v>721</v>
      </c>
      <c r="H38" s="26" t="s">
        <v>571</v>
      </c>
      <c r="I38" s="26" t="s">
        <v>525</v>
      </c>
      <c r="J38" s="26" t="s">
        <v>631</v>
      </c>
      <c r="K38" s="26" t="s">
        <v>722</v>
      </c>
    </row>
    <row r="39" customFormat="false" ht="37.5" hidden="false" customHeight="true" outlineLevel="0" collapsed="false">
      <c r="A39" s="62" t="s">
        <v>723</v>
      </c>
      <c r="B39" s="25" t="s">
        <v>724</v>
      </c>
      <c r="C39" s="25" t="s">
        <v>725</v>
      </c>
      <c r="D39" s="25" t="s">
        <v>571</v>
      </c>
      <c r="E39" s="25" t="s">
        <v>571</v>
      </c>
      <c r="F39" s="25" t="s">
        <v>726</v>
      </c>
      <c r="G39" s="25" t="s">
        <v>727</v>
      </c>
      <c r="H39" s="25" t="s">
        <v>728</v>
      </c>
      <c r="I39" s="25" t="s">
        <v>729</v>
      </c>
      <c r="J39" s="25" t="s">
        <v>730</v>
      </c>
      <c r="K39" s="25" t="s">
        <v>731</v>
      </c>
    </row>
    <row r="40" customFormat="false" ht="19.5" hidden="false" customHeight="true" outlineLevel="0" collapsed="false">
      <c r="A40" s="61" t="s">
        <v>732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</row>
    <row r="41" customFormat="false" ht="37.5" hidden="false" customHeight="true" outlineLevel="0" collapsed="false">
      <c r="A41" s="62" t="s">
        <v>733</v>
      </c>
      <c r="B41" s="25" t="s">
        <v>734</v>
      </c>
      <c r="C41" s="25" t="s">
        <v>735</v>
      </c>
      <c r="D41" s="25" t="s">
        <v>736</v>
      </c>
      <c r="E41" s="25" t="s">
        <v>737</v>
      </c>
      <c r="F41" s="25" t="s">
        <v>738</v>
      </c>
      <c r="G41" s="25" t="s">
        <v>604</v>
      </c>
      <c r="H41" s="25" t="s">
        <v>739</v>
      </c>
      <c r="I41" s="25" t="s">
        <v>525</v>
      </c>
      <c r="J41" s="25" t="s">
        <v>740</v>
      </c>
      <c r="K41" s="25" t="s">
        <v>741</v>
      </c>
    </row>
    <row r="42" customFormat="false" ht="37.5" hidden="false" customHeight="true" outlineLevel="0" collapsed="false">
      <c r="A42" s="62" t="s">
        <v>742</v>
      </c>
      <c r="B42" s="26" t="s">
        <v>743</v>
      </c>
      <c r="C42" s="26" t="s">
        <v>744</v>
      </c>
      <c r="D42" s="26" t="s">
        <v>745</v>
      </c>
      <c r="E42" s="26" t="s">
        <v>746</v>
      </c>
      <c r="F42" s="26" t="s">
        <v>747</v>
      </c>
      <c r="G42" s="26" t="s">
        <v>748</v>
      </c>
      <c r="H42" s="26" t="s">
        <v>641</v>
      </c>
      <c r="I42" s="26" t="s">
        <v>525</v>
      </c>
      <c r="J42" s="26" t="s">
        <v>525</v>
      </c>
      <c r="K42" s="26" t="s">
        <v>749</v>
      </c>
    </row>
    <row r="43" customFormat="false" ht="37.5" hidden="false" customHeight="true" outlineLevel="0" collapsed="false">
      <c r="A43" s="62" t="s">
        <v>750</v>
      </c>
      <c r="B43" s="25" t="s">
        <v>751</v>
      </c>
      <c r="C43" s="25" t="s">
        <v>752</v>
      </c>
      <c r="D43" s="25" t="s">
        <v>753</v>
      </c>
      <c r="E43" s="25" t="s">
        <v>754</v>
      </c>
      <c r="F43" s="25" t="s">
        <v>755</v>
      </c>
      <c r="G43" s="25" t="s">
        <v>698</v>
      </c>
      <c r="H43" s="25" t="s">
        <v>586</v>
      </c>
      <c r="I43" s="25" t="s">
        <v>525</v>
      </c>
      <c r="J43" s="25" t="s">
        <v>525</v>
      </c>
      <c r="K43" s="25" t="s">
        <v>756</v>
      </c>
    </row>
  </sheetData>
  <mergeCells count="10">
    <mergeCell ref="A1:K1"/>
    <mergeCell ref="A2:K2"/>
    <mergeCell ref="A4:K4"/>
    <mergeCell ref="A16:K16"/>
    <mergeCell ref="A21:K21"/>
    <mergeCell ref="A25:K25"/>
    <mergeCell ref="A28:K28"/>
    <mergeCell ref="A31:K31"/>
    <mergeCell ref="A35:K35"/>
    <mergeCell ref="A40:K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C8C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6" min="4" style="1" width="18"/>
    <col collapsed="false" customWidth="true" hidden="false" outlineLevel="0" max="7" min="7" style="1" width="22"/>
    <col collapsed="false" customWidth="true" hidden="false" outlineLevel="0" max="8" min="8" style="1" width="28"/>
    <col collapsed="false" customWidth="true" hidden="false" outlineLevel="0" max="9" min="9" style="1" width="26"/>
    <col collapsed="false" customWidth="true" hidden="false" outlineLevel="0" max="10" min="10" style="1" width="38"/>
  </cols>
  <sheetData>
    <row r="1" customFormat="false" ht="27.75" hidden="false" customHeight="true" outlineLevel="0" collapsed="false">
      <c r="A1" s="21" t="s">
        <v>757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31.5" hidden="false" customHeight="true" outlineLevel="0" collapsed="false">
      <c r="A2" s="24" t="s">
        <v>758</v>
      </c>
      <c r="B2" s="24" t="s">
        <v>759</v>
      </c>
      <c r="C2" s="24" t="s">
        <v>760</v>
      </c>
      <c r="D2" s="24" t="s">
        <v>761</v>
      </c>
      <c r="E2" s="24" t="s">
        <v>762</v>
      </c>
      <c r="F2" s="24" t="s">
        <v>763</v>
      </c>
      <c r="G2" s="24" t="s">
        <v>764</v>
      </c>
      <c r="H2" s="24" t="s">
        <v>765</v>
      </c>
      <c r="I2" s="24" t="s">
        <v>766</v>
      </c>
      <c r="J2" s="24" t="s">
        <v>225</v>
      </c>
    </row>
    <row r="3" customFormat="false" ht="19.5" hidden="false" customHeight="true" outlineLevel="0" collapsed="false">
      <c r="A3" s="63" t="s">
        <v>767</v>
      </c>
      <c r="B3" s="63"/>
      <c r="C3" s="63"/>
      <c r="D3" s="63"/>
      <c r="E3" s="63"/>
      <c r="F3" s="63"/>
      <c r="G3" s="63"/>
      <c r="H3" s="63"/>
      <c r="I3" s="63"/>
      <c r="J3" s="63"/>
    </row>
    <row r="4" customFormat="false" ht="37.5" hidden="false" customHeight="true" outlineLevel="0" collapsed="false">
      <c r="A4" s="64" t="s">
        <v>768</v>
      </c>
      <c r="B4" s="26" t="s">
        <v>769</v>
      </c>
      <c r="C4" s="26" t="s">
        <v>770</v>
      </c>
      <c r="D4" s="26" t="s">
        <v>771</v>
      </c>
      <c r="E4" s="26" t="s">
        <v>772</v>
      </c>
      <c r="F4" s="26" t="s">
        <v>773</v>
      </c>
      <c r="G4" s="26" t="s">
        <v>774</v>
      </c>
      <c r="H4" s="26" t="s">
        <v>775</v>
      </c>
      <c r="I4" s="26" t="s">
        <v>776</v>
      </c>
      <c r="J4" s="26" t="s">
        <v>777</v>
      </c>
    </row>
    <row r="5" customFormat="false" ht="37.5" hidden="false" customHeight="true" outlineLevel="0" collapsed="false">
      <c r="A5" s="64" t="s">
        <v>778</v>
      </c>
      <c r="B5" s="25" t="s">
        <v>779</v>
      </c>
      <c r="C5" s="25" t="s">
        <v>780</v>
      </c>
      <c r="D5" s="25" t="s">
        <v>781</v>
      </c>
      <c r="E5" s="25" t="s">
        <v>782</v>
      </c>
      <c r="F5" s="25" t="s">
        <v>783</v>
      </c>
      <c r="G5" s="25" t="s">
        <v>784</v>
      </c>
      <c r="H5" s="25" t="s">
        <v>785</v>
      </c>
      <c r="I5" s="25" t="s">
        <v>786</v>
      </c>
      <c r="J5" s="25" t="s">
        <v>787</v>
      </c>
    </row>
    <row r="6" customFormat="false" ht="37.5" hidden="false" customHeight="true" outlineLevel="0" collapsed="false">
      <c r="A6" s="64" t="s">
        <v>788</v>
      </c>
      <c r="B6" s="26" t="s">
        <v>789</v>
      </c>
      <c r="C6" s="26" t="s">
        <v>790</v>
      </c>
      <c r="D6" s="26" t="s">
        <v>791</v>
      </c>
      <c r="E6" s="26" t="s">
        <v>792</v>
      </c>
      <c r="F6" s="26" t="s">
        <v>793</v>
      </c>
      <c r="G6" s="26" t="s">
        <v>794</v>
      </c>
      <c r="H6" s="26" t="s">
        <v>795</v>
      </c>
      <c r="I6" s="26" t="s">
        <v>796</v>
      </c>
      <c r="J6" s="26" t="s">
        <v>797</v>
      </c>
    </row>
    <row r="7" customFormat="false" ht="19.5" hidden="false" customHeight="true" outlineLevel="0" collapsed="false">
      <c r="A7" s="63" t="s">
        <v>798</v>
      </c>
      <c r="B7" s="63"/>
      <c r="C7" s="63"/>
      <c r="D7" s="63"/>
      <c r="E7" s="63"/>
      <c r="F7" s="63"/>
      <c r="G7" s="63"/>
      <c r="H7" s="63"/>
      <c r="I7" s="63"/>
      <c r="J7" s="63"/>
    </row>
    <row r="8" customFormat="false" ht="37.5" hidden="false" customHeight="true" outlineLevel="0" collapsed="false">
      <c r="A8" s="64" t="s">
        <v>799</v>
      </c>
      <c r="B8" s="26" t="s">
        <v>800</v>
      </c>
      <c r="C8" s="26" t="s">
        <v>801</v>
      </c>
      <c r="D8" s="26" t="s">
        <v>802</v>
      </c>
      <c r="E8" s="26" t="s">
        <v>803</v>
      </c>
      <c r="F8" s="26" t="s">
        <v>804</v>
      </c>
      <c r="G8" s="26" t="s">
        <v>805</v>
      </c>
      <c r="H8" s="26" t="s">
        <v>806</v>
      </c>
      <c r="I8" s="26" t="s">
        <v>807</v>
      </c>
      <c r="J8" s="26" t="s">
        <v>808</v>
      </c>
    </row>
    <row r="9" customFormat="false" ht="37.5" hidden="false" customHeight="true" outlineLevel="0" collapsed="false">
      <c r="A9" s="64" t="s">
        <v>809</v>
      </c>
      <c r="B9" s="25" t="s">
        <v>810</v>
      </c>
      <c r="C9" s="25" t="s">
        <v>811</v>
      </c>
      <c r="D9" s="25" t="s">
        <v>812</v>
      </c>
      <c r="E9" s="25" t="s">
        <v>813</v>
      </c>
      <c r="F9" s="25" t="s">
        <v>814</v>
      </c>
      <c r="G9" s="25" t="s">
        <v>814</v>
      </c>
      <c r="H9" s="25" t="s">
        <v>815</v>
      </c>
      <c r="I9" s="25" t="s">
        <v>816</v>
      </c>
      <c r="J9" s="25" t="s">
        <v>817</v>
      </c>
    </row>
    <row r="10" customFormat="false" ht="19.5" hidden="false" customHeight="true" outlineLevel="0" collapsed="false">
      <c r="A10" s="63" t="s">
        <v>818</v>
      </c>
      <c r="B10" s="63"/>
      <c r="C10" s="63"/>
      <c r="D10" s="63"/>
      <c r="E10" s="63"/>
      <c r="F10" s="63"/>
      <c r="G10" s="63"/>
      <c r="H10" s="63"/>
      <c r="I10" s="63"/>
      <c r="J10" s="63"/>
    </row>
    <row r="11" customFormat="false" ht="37.5" hidden="false" customHeight="true" outlineLevel="0" collapsed="false">
      <c r="A11" s="64" t="s">
        <v>819</v>
      </c>
      <c r="B11" s="25" t="s">
        <v>820</v>
      </c>
      <c r="C11" s="25" t="s">
        <v>821</v>
      </c>
      <c r="D11" s="25" t="s">
        <v>822</v>
      </c>
      <c r="E11" s="25" t="s">
        <v>823</v>
      </c>
      <c r="F11" s="25" t="s">
        <v>824</v>
      </c>
      <c r="G11" s="25" t="s">
        <v>825</v>
      </c>
      <c r="H11" s="25" t="s">
        <v>826</v>
      </c>
      <c r="I11" s="25" t="s">
        <v>827</v>
      </c>
      <c r="J11" s="25" t="s">
        <v>828</v>
      </c>
    </row>
    <row r="12" customFormat="false" ht="37.5" hidden="false" customHeight="true" outlineLevel="0" collapsed="false">
      <c r="A12" s="64" t="s">
        <v>829</v>
      </c>
      <c r="B12" s="26" t="s">
        <v>830</v>
      </c>
      <c r="C12" s="26" t="s">
        <v>831</v>
      </c>
      <c r="D12" s="26" t="s">
        <v>832</v>
      </c>
      <c r="E12" s="26" t="s">
        <v>814</v>
      </c>
      <c r="F12" s="26" t="s">
        <v>814</v>
      </c>
      <c r="G12" s="26" t="s">
        <v>814</v>
      </c>
      <c r="H12" s="26" t="s">
        <v>833</v>
      </c>
      <c r="I12" s="26" t="s">
        <v>834</v>
      </c>
      <c r="J12" s="26" t="s">
        <v>835</v>
      </c>
    </row>
    <row r="13" customFormat="false" ht="37.5" hidden="false" customHeight="true" outlineLevel="0" collapsed="false">
      <c r="A13" s="64" t="s">
        <v>836</v>
      </c>
      <c r="B13" s="25" t="s">
        <v>837</v>
      </c>
      <c r="C13" s="25" t="s">
        <v>838</v>
      </c>
      <c r="D13" s="25" t="s">
        <v>839</v>
      </c>
      <c r="E13" s="25" t="s">
        <v>840</v>
      </c>
      <c r="F13" s="25" t="s">
        <v>841</v>
      </c>
      <c r="G13" s="25" t="s">
        <v>842</v>
      </c>
      <c r="H13" s="25" t="s">
        <v>843</v>
      </c>
      <c r="I13" s="25" t="s">
        <v>844</v>
      </c>
      <c r="J13" s="25" t="s">
        <v>845</v>
      </c>
    </row>
    <row r="14" customFormat="false" ht="19.5" hidden="false" customHeight="true" outlineLevel="0" collapsed="false">
      <c r="A14" s="63" t="s">
        <v>846</v>
      </c>
      <c r="B14" s="63"/>
      <c r="C14" s="63"/>
      <c r="D14" s="63"/>
      <c r="E14" s="63"/>
      <c r="F14" s="63"/>
      <c r="G14" s="63"/>
      <c r="H14" s="63"/>
      <c r="I14" s="63"/>
      <c r="J14" s="63"/>
    </row>
    <row r="15" customFormat="false" ht="37.5" hidden="false" customHeight="true" outlineLevel="0" collapsed="false">
      <c r="A15" s="64" t="s">
        <v>847</v>
      </c>
      <c r="B15" s="25" t="s">
        <v>848</v>
      </c>
      <c r="C15" s="25" t="s">
        <v>849</v>
      </c>
      <c r="D15" s="25" t="s">
        <v>850</v>
      </c>
      <c r="E15" s="25" t="s">
        <v>851</v>
      </c>
      <c r="F15" s="25" t="s">
        <v>852</v>
      </c>
      <c r="G15" s="25" t="s">
        <v>853</v>
      </c>
      <c r="H15" s="25" t="s">
        <v>854</v>
      </c>
      <c r="I15" s="25" t="s">
        <v>855</v>
      </c>
      <c r="J15" s="25" t="s">
        <v>856</v>
      </c>
    </row>
    <row r="16" customFormat="false" ht="37.5" hidden="false" customHeight="true" outlineLevel="0" collapsed="false">
      <c r="A16" s="64" t="s">
        <v>857</v>
      </c>
      <c r="B16" s="26" t="s">
        <v>858</v>
      </c>
      <c r="C16" s="26" t="s">
        <v>859</v>
      </c>
      <c r="D16" s="26" t="s">
        <v>860</v>
      </c>
      <c r="E16" s="26" t="s">
        <v>861</v>
      </c>
      <c r="F16" s="26" t="s">
        <v>862</v>
      </c>
      <c r="G16" s="26" t="s">
        <v>814</v>
      </c>
      <c r="H16" s="26" t="s">
        <v>854</v>
      </c>
      <c r="I16" s="26" t="s">
        <v>863</v>
      </c>
      <c r="J16" s="26" t="s">
        <v>864</v>
      </c>
    </row>
    <row r="17" customFormat="false" ht="37.5" hidden="false" customHeight="true" outlineLevel="0" collapsed="false">
      <c r="A17" s="64" t="s">
        <v>865</v>
      </c>
      <c r="B17" s="25" t="s">
        <v>858</v>
      </c>
      <c r="C17" s="25" t="s">
        <v>866</v>
      </c>
      <c r="D17" s="25" t="s">
        <v>867</v>
      </c>
      <c r="E17" s="25" t="s">
        <v>868</v>
      </c>
      <c r="F17" s="25" t="s">
        <v>814</v>
      </c>
      <c r="G17" s="25" t="s">
        <v>869</v>
      </c>
      <c r="H17" s="25" t="s">
        <v>815</v>
      </c>
      <c r="I17" s="25" t="s">
        <v>870</v>
      </c>
      <c r="J17" s="25" t="s">
        <v>871</v>
      </c>
    </row>
    <row r="18" customFormat="false" ht="19.5" hidden="false" customHeight="true" outlineLevel="0" collapsed="false">
      <c r="A18" s="63" t="s">
        <v>872</v>
      </c>
      <c r="B18" s="63"/>
      <c r="C18" s="63"/>
      <c r="D18" s="63"/>
      <c r="E18" s="63"/>
      <c r="F18" s="63"/>
      <c r="G18" s="63"/>
      <c r="H18" s="63"/>
      <c r="I18" s="63"/>
      <c r="J18" s="63"/>
    </row>
    <row r="19" customFormat="false" ht="37.5" hidden="false" customHeight="true" outlineLevel="0" collapsed="false">
      <c r="A19" s="64" t="s">
        <v>403</v>
      </c>
      <c r="B19" s="25" t="s">
        <v>873</v>
      </c>
      <c r="C19" s="25" t="s">
        <v>874</v>
      </c>
      <c r="D19" s="25" t="s">
        <v>875</v>
      </c>
      <c r="E19" s="25" t="s">
        <v>876</v>
      </c>
      <c r="F19" s="25" t="s">
        <v>877</v>
      </c>
      <c r="G19" s="25" t="s">
        <v>824</v>
      </c>
      <c r="H19" s="25" t="s">
        <v>878</v>
      </c>
      <c r="I19" s="25" t="s">
        <v>879</v>
      </c>
      <c r="J19" s="25" t="s">
        <v>880</v>
      </c>
    </row>
    <row r="20" customFormat="false" ht="37.5" hidden="false" customHeight="true" outlineLevel="0" collapsed="false">
      <c r="A20" s="64" t="s">
        <v>881</v>
      </c>
      <c r="B20" s="26" t="s">
        <v>882</v>
      </c>
      <c r="C20" s="26" t="s">
        <v>883</v>
      </c>
      <c r="D20" s="26" t="s">
        <v>884</v>
      </c>
      <c r="E20" s="26" t="s">
        <v>885</v>
      </c>
      <c r="F20" s="26" t="s">
        <v>584</v>
      </c>
      <c r="G20" s="26" t="s">
        <v>886</v>
      </c>
      <c r="H20" s="26" t="s">
        <v>795</v>
      </c>
      <c r="I20" s="26" t="s">
        <v>887</v>
      </c>
      <c r="J20" s="26" t="s">
        <v>888</v>
      </c>
    </row>
    <row r="21" customFormat="false" ht="37.5" hidden="false" customHeight="true" outlineLevel="0" collapsed="false">
      <c r="A21" s="64" t="s">
        <v>889</v>
      </c>
      <c r="B21" s="25" t="s">
        <v>890</v>
      </c>
      <c r="C21" s="25" t="s">
        <v>891</v>
      </c>
      <c r="D21" s="25" t="s">
        <v>892</v>
      </c>
      <c r="E21" s="25" t="s">
        <v>893</v>
      </c>
      <c r="F21" s="25" t="s">
        <v>894</v>
      </c>
      <c r="G21" s="25" t="s">
        <v>584</v>
      </c>
      <c r="H21" s="25" t="s">
        <v>878</v>
      </c>
      <c r="I21" s="25" t="s">
        <v>895</v>
      </c>
      <c r="J21" s="25" t="s">
        <v>896</v>
      </c>
    </row>
    <row r="22" customFormat="false" ht="19.5" hidden="false" customHeight="true" outlineLevel="0" collapsed="false">
      <c r="A22" s="63" t="s">
        <v>897</v>
      </c>
      <c r="B22" s="63"/>
      <c r="C22" s="63"/>
      <c r="D22" s="63"/>
      <c r="E22" s="63"/>
      <c r="F22" s="63"/>
      <c r="G22" s="63"/>
      <c r="H22" s="63"/>
      <c r="I22" s="63"/>
      <c r="J22" s="63"/>
    </row>
    <row r="23" customFormat="false" ht="37.5" hidden="false" customHeight="true" outlineLevel="0" collapsed="false">
      <c r="A23" s="64" t="s">
        <v>750</v>
      </c>
      <c r="B23" s="25" t="s">
        <v>898</v>
      </c>
      <c r="C23" s="25" t="s">
        <v>899</v>
      </c>
      <c r="D23" s="25" t="s">
        <v>753</v>
      </c>
      <c r="E23" s="25" t="s">
        <v>755</v>
      </c>
      <c r="F23" s="25" t="s">
        <v>755</v>
      </c>
      <c r="G23" s="25" t="s">
        <v>900</v>
      </c>
      <c r="H23" s="25" t="s">
        <v>901</v>
      </c>
      <c r="I23" s="25" t="s">
        <v>902</v>
      </c>
      <c r="J23" s="25" t="s">
        <v>903</v>
      </c>
    </row>
    <row r="24" customFormat="false" ht="37.5" hidden="false" customHeight="true" outlineLevel="0" collapsed="false">
      <c r="A24" s="64" t="s">
        <v>904</v>
      </c>
      <c r="B24" s="26" t="s">
        <v>905</v>
      </c>
      <c r="C24" s="26" t="s">
        <v>906</v>
      </c>
      <c r="D24" s="26" t="s">
        <v>783</v>
      </c>
      <c r="E24" s="26" t="s">
        <v>907</v>
      </c>
      <c r="F24" s="26" t="s">
        <v>908</v>
      </c>
      <c r="G24" s="26" t="s">
        <v>909</v>
      </c>
      <c r="H24" s="26" t="s">
        <v>910</v>
      </c>
      <c r="I24" s="26" t="s">
        <v>911</v>
      </c>
      <c r="J24" s="26" t="s">
        <v>912</v>
      </c>
    </row>
    <row r="25" customFormat="false" ht="37.5" hidden="false" customHeight="true" outlineLevel="0" collapsed="false">
      <c r="A25" s="64" t="s">
        <v>913</v>
      </c>
      <c r="B25" s="25" t="s">
        <v>914</v>
      </c>
      <c r="C25" s="25" t="s">
        <v>915</v>
      </c>
      <c r="D25" s="25" t="s">
        <v>916</v>
      </c>
      <c r="E25" s="25" t="s">
        <v>917</v>
      </c>
      <c r="F25" s="25" t="s">
        <v>918</v>
      </c>
      <c r="G25" s="25" t="s">
        <v>919</v>
      </c>
      <c r="H25" s="25" t="s">
        <v>878</v>
      </c>
      <c r="I25" s="25" t="s">
        <v>920</v>
      </c>
      <c r="J25" s="25" t="s">
        <v>921</v>
      </c>
    </row>
    <row r="26" customFormat="false" ht="37.5" hidden="false" customHeight="true" outlineLevel="0" collapsed="false">
      <c r="A26" s="64" t="s">
        <v>922</v>
      </c>
      <c r="B26" s="26" t="s">
        <v>923</v>
      </c>
      <c r="C26" s="26" t="s">
        <v>924</v>
      </c>
      <c r="D26" s="26" t="s">
        <v>925</v>
      </c>
      <c r="E26" s="26" t="s">
        <v>917</v>
      </c>
      <c r="F26" s="26" t="s">
        <v>584</v>
      </c>
      <c r="G26" s="26" t="s">
        <v>584</v>
      </c>
      <c r="H26" s="26" t="s">
        <v>795</v>
      </c>
      <c r="I26" s="26" t="s">
        <v>926</v>
      </c>
      <c r="J26" s="26" t="s">
        <v>927</v>
      </c>
    </row>
    <row r="27" customFormat="false" ht="37.5" hidden="false" customHeight="true" outlineLevel="0" collapsed="false">
      <c r="A27" s="64" t="s">
        <v>928</v>
      </c>
      <c r="B27" s="25" t="s">
        <v>929</v>
      </c>
      <c r="C27" s="25" t="s">
        <v>930</v>
      </c>
      <c r="D27" s="25" t="s">
        <v>931</v>
      </c>
      <c r="E27" s="25" t="s">
        <v>932</v>
      </c>
      <c r="F27" s="25" t="s">
        <v>932</v>
      </c>
      <c r="G27" s="25" t="s">
        <v>933</v>
      </c>
      <c r="H27" s="25" t="s">
        <v>934</v>
      </c>
      <c r="I27" s="25" t="s">
        <v>935</v>
      </c>
      <c r="J27" s="25" t="s">
        <v>936</v>
      </c>
    </row>
  </sheetData>
  <mergeCells count="7">
    <mergeCell ref="A1:J1"/>
    <mergeCell ref="A3:J3"/>
    <mergeCell ref="A7:J7"/>
    <mergeCell ref="A10:J10"/>
    <mergeCell ref="A14:J14"/>
    <mergeCell ref="A18:J18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6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8" min="7" style="1" width="24"/>
    <col collapsed="false" customWidth="true" hidden="false" outlineLevel="0" max="10" min="9" style="1" width="28"/>
  </cols>
  <sheetData>
    <row r="1" customFormat="false" ht="27.75" hidden="false" customHeight="true" outlineLevel="0" collapsed="false">
      <c r="A1" s="48" t="s">
        <v>937</v>
      </c>
      <c r="B1" s="48"/>
      <c r="C1" s="48"/>
      <c r="D1" s="48"/>
      <c r="E1" s="48"/>
      <c r="F1" s="48"/>
      <c r="G1" s="48"/>
      <c r="H1" s="48"/>
      <c r="I1" s="48"/>
    </row>
    <row r="2" customFormat="false" ht="15" hidden="false" customHeight="true" outlineLevel="0" collapsed="false">
      <c r="A2" s="52" t="s">
        <v>938</v>
      </c>
      <c r="B2" s="52"/>
      <c r="C2" s="52"/>
      <c r="D2" s="52"/>
      <c r="E2" s="52"/>
      <c r="F2" s="52"/>
      <c r="G2" s="52"/>
      <c r="H2" s="52"/>
      <c r="I2" s="52"/>
      <c r="J2" s="52"/>
    </row>
    <row r="3" customFormat="false" ht="15" hidden="false" customHeight="true" outlineLevel="0" collapsed="false">
      <c r="A3" s="65" t="s">
        <v>939</v>
      </c>
      <c r="B3" s="65" t="s">
        <v>940</v>
      </c>
      <c r="C3" s="65" t="s">
        <v>941</v>
      </c>
      <c r="D3" s="65" t="s">
        <v>942</v>
      </c>
      <c r="E3" s="65" t="s">
        <v>943</v>
      </c>
      <c r="F3" s="65" t="s">
        <v>763</v>
      </c>
      <c r="G3" s="65" t="s">
        <v>944</v>
      </c>
      <c r="H3" s="65" t="s">
        <v>945</v>
      </c>
      <c r="I3" s="65" t="s">
        <v>946</v>
      </c>
      <c r="J3" s="65" t="s">
        <v>947</v>
      </c>
    </row>
    <row r="4" customFormat="false" ht="37.5" hidden="false" customHeight="true" outlineLevel="0" collapsed="false">
      <c r="A4" s="66" t="s">
        <v>948</v>
      </c>
      <c r="B4" s="26" t="s">
        <v>949</v>
      </c>
      <c r="C4" s="26" t="s">
        <v>950</v>
      </c>
      <c r="D4" s="26" t="s">
        <v>951</v>
      </c>
      <c r="E4" s="26" t="s">
        <v>951</v>
      </c>
      <c r="F4" s="26" t="s">
        <v>951</v>
      </c>
      <c r="G4" s="26" t="s">
        <v>952</v>
      </c>
      <c r="H4" s="26" t="s">
        <v>953</v>
      </c>
      <c r="I4" s="26" t="s">
        <v>954</v>
      </c>
      <c r="J4" s="26" t="s">
        <v>955</v>
      </c>
    </row>
    <row r="5" customFormat="false" ht="37.5" hidden="false" customHeight="true" outlineLevel="0" collapsed="false">
      <c r="A5" s="66" t="s">
        <v>956</v>
      </c>
      <c r="B5" s="25" t="s">
        <v>957</v>
      </c>
      <c r="C5" s="25" t="s">
        <v>958</v>
      </c>
      <c r="D5" s="25" t="s">
        <v>959</v>
      </c>
      <c r="E5" s="25" t="s">
        <v>960</v>
      </c>
      <c r="F5" s="25" t="s">
        <v>961</v>
      </c>
      <c r="G5" s="25" t="s">
        <v>805</v>
      </c>
      <c r="H5" s="25" t="s">
        <v>962</v>
      </c>
      <c r="I5" s="25" t="s">
        <v>963</v>
      </c>
      <c r="J5" s="25" t="s">
        <v>964</v>
      </c>
    </row>
    <row r="6" customFormat="false" ht="37.5" hidden="false" customHeight="true" outlineLevel="0" collapsed="false">
      <c r="A6" s="66" t="s">
        <v>965</v>
      </c>
      <c r="B6" s="26" t="s">
        <v>966</v>
      </c>
      <c r="C6" s="26" t="s">
        <v>967</v>
      </c>
      <c r="D6" s="26" t="s">
        <v>968</v>
      </c>
      <c r="E6" s="26" t="s">
        <v>969</v>
      </c>
      <c r="F6" s="26" t="s">
        <v>584</v>
      </c>
      <c r="G6" s="26" t="s">
        <v>814</v>
      </c>
      <c r="H6" s="26" t="s">
        <v>970</v>
      </c>
      <c r="I6" s="26" t="s">
        <v>971</v>
      </c>
      <c r="J6" s="26" t="s">
        <v>972</v>
      </c>
    </row>
    <row r="7" customFormat="false" ht="37.5" hidden="false" customHeight="true" outlineLevel="0" collapsed="false">
      <c r="A7" s="66" t="s">
        <v>973</v>
      </c>
      <c r="B7" s="25" t="s">
        <v>974</v>
      </c>
      <c r="C7" s="25" t="s">
        <v>975</v>
      </c>
      <c r="D7" s="25" t="s">
        <v>976</v>
      </c>
      <c r="E7" s="25" t="s">
        <v>814</v>
      </c>
      <c r="F7" s="25" t="s">
        <v>814</v>
      </c>
      <c r="G7" s="25" t="s">
        <v>814</v>
      </c>
      <c r="H7" s="25" t="s">
        <v>977</v>
      </c>
      <c r="I7" s="25" t="s">
        <v>815</v>
      </c>
      <c r="J7" s="25" t="s">
        <v>978</v>
      </c>
    </row>
    <row r="9" customFormat="false" ht="15" hidden="false" customHeight="true" outlineLevel="0" collapsed="false">
      <c r="A9" s="51" t="s">
        <v>979</v>
      </c>
      <c r="B9" s="51"/>
      <c r="C9" s="51"/>
      <c r="D9" s="51"/>
      <c r="E9" s="51"/>
      <c r="F9" s="51"/>
      <c r="G9" s="51"/>
      <c r="H9" s="51"/>
      <c r="I9" s="51"/>
      <c r="J9" s="51"/>
    </row>
    <row r="10" customFormat="false" ht="15" hidden="false" customHeight="true" outlineLevel="0" collapsed="false">
      <c r="A10" s="65" t="s">
        <v>939</v>
      </c>
      <c r="B10" s="65" t="s">
        <v>940</v>
      </c>
      <c r="C10" s="65" t="s">
        <v>941</v>
      </c>
      <c r="D10" s="65" t="s">
        <v>942</v>
      </c>
      <c r="E10" s="65" t="s">
        <v>943</v>
      </c>
      <c r="F10" s="65" t="s">
        <v>763</v>
      </c>
      <c r="G10" s="65" t="s">
        <v>944</v>
      </c>
      <c r="H10" s="65" t="s">
        <v>945</v>
      </c>
      <c r="I10" s="65" t="s">
        <v>946</v>
      </c>
      <c r="J10" s="65" t="s">
        <v>947</v>
      </c>
    </row>
    <row r="11" customFormat="false" ht="37.5" hidden="false" customHeight="true" outlineLevel="0" collapsed="false">
      <c r="A11" s="66" t="s">
        <v>980</v>
      </c>
      <c r="B11" s="25" t="s">
        <v>981</v>
      </c>
      <c r="C11" s="25" t="s">
        <v>982</v>
      </c>
      <c r="D11" s="25" t="s">
        <v>983</v>
      </c>
      <c r="E11" s="25" t="s">
        <v>571</v>
      </c>
      <c r="F11" s="25" t="s">
        <v>571</v>
      </c>
      <c r="G11" s="25" t="s">
        <v>984</v>
      </c>
      <c r="H11" s="25" t="s">
        <v>985</v>
      </c>
      <c r="I11" s="25" t="s">
        <v>986</v>
      </c>
      <c r="J11" s="25" t="s">
        <v>987</v>
      </c>
    </row>
    <row r="12" customFormat="false" ht="37.5" hidden="false" customHeight="true" outlineLevel="0" collapsed="false">
      <c r="A12" s="66" t="s">
        <v>988</v>
      </c>
      <c r="B12" s="26" t="s">
        <v>989</v>
      </c>
      <c r="C12" s="26" t="s">
        <v>990</v>
      </c>
      <c r="D12" s="26" t="s">
        <v>991</v>
      </c>
      <c r="E12" s="26" t="s">
        <v>992</v>
      </c>
      <c r="F12" s="26" t="s">
        <v>993</v>
      </c>
      <c r="G12" s="26" t="s">
        <v>814</v>
      </c>
      <c r="H12" s="26" t="s">
        <v>994</v>
      </c>
      <c r="I12" s="26" t="s">
        <v>995</v>
      </c>
      <c r="J12" s="26" t="s">
        <v>996</v>
      </c>
    </row>
    <row r="13" customFormat="false" ht="37.5" hidden="false" customHeight="true" outlineLevel="0" collapsed="false">
      <c r="A13" s="66" t="s">
        <v>997</v>
      </c>
      <c r="B13" s="25" t="s">
        <v>998</v>
      </c>
      <c r="C13" s="25" t="s">
        <v>999</v>
      </c>
      <c r="D13" s="25" t="s">
        <v>1000</v>
      </c>
      <c r="E13" s="25" t="s">
        <v>718</v>
      </c>
      <c r="F13" s="25" t="s">
        <v>1001</v>
      </c>
      <c r="G13" s="25" t="s">
        <v>1002</v>
      </c>
      <c r="H13" s="25" t="s">
        <v>1003</v>
      </c>
      <c r="I13" s="25" t="s">
        <v>1004</v>
      </c>
      <c r="J13" s="25" t="s">
        <v>1005</v>
      </c>
    </row>
    <row r="14" customFormat="false" ht="37.5" hidden="false" customHeight="true" outlineLevel="0" collapsed="false">
      <c r="A14" s="66" t="s">
        <v>1006</v>
      </c>
      <c r="B14" s="26" t="s">
        <v>1007</v>
      </c>
      <c r="C14" s="26" t="s">
        <v>1008</v>
      </c>
      <c r="D14" s="26" t="s">
        <v>1009</v>
      </c>
      <c r="E14" s="26" t="s">
        <v>1010</v>
      </c>
      <c r="F14" s="26" t="s">
        <v>1011</v>
      </c>
      <c r="G14" s="26" t="s">
        <v>1012</v>
      </c>
      <c r="H14" s="26" t="s">
        <v>1013</v>
      </c>
      <c r="I14" s="26" t="s">
        <v>1014</v>
      </c>
      <c r="J14" s="26" t="s">
        <v>1015</v>
      </c>
    </row>
    <row r="16" customFormat="false" ht="15" hidden="false" customHeight="true" outlineLevel="0" collapsed="false">
      <c r="A16" s="67" t="s">
        <v>1016</v>
      </c>
      <c r="B16" s="67"/>
      <c r="C16" s="67"/>
      <c r="D16" s="67"/>
      <c r="E16" s="67"/>
      <c r="F16" s="67"/>
      <c r="G16" s="67"/>
      <c r="H16" s="67"/>
      <c r="I16" s="67"/>
      <c r="J16" s="67"/>
    </row>
    <row r="17" customFormat="false" ht="15" hidden="false" customHeight="true" outlineLevel="0" collapsed="false">
      <c r="A17" s="65" t="s">
        <v>939</v>
      </c>
      <c r="B17" s="65" t="s">
        <v>940</v>
      </c>
      <c r="C17" s="65" t="s">
        <v>941</v>
      </c>
      <c r="D17" s="65" t="s">
        <v>942</v>
      </c>
      <c r="E17" s="65" t="s">
        <v>943</v>
      </c>
      <c r="F17" s="65" t="s">
        <v>763</v>
      </c>
      <c r="G17" s="65" t="s">
        <v>944</v>
      </c>
      <c r="H17" s="65" t="s">
        <v>945</v>
      </c>
      <c r="I17" s="65" t="s">
        <v>946</v>
      </c>
      <c r="J17" s="65" t="s">
        <v>947</v>
      </c>
    </row>
    <row r="18" customFormat="false" ht="37.5" hidden="false" customHeight="true" outlineLevel="0" collapsed="false">
      <c r="A18" s="66" t="s">
        <v>1017</v>
      </c>
      <c r="B18" s="26" t="s">
        <v>1018</v>
      </c>
      <c r="C18" s="26" t="s">
        <v>1019</v>
      </c>
      <c r="D18" s="26" t="s">
        <v>1020</v>
      </c>
      <c r="E18" s="26" t="s">
        <v>1020</v>
      </c>
      <c r="F18" s="26" t="s">
        <v>1020</v>
      </c>
      <c r="G18" s="26" t="s">
        <v>1021</v>
      </c>
      <c r="H18" s="26" t="s">
        <v>1022</v>
      </c>
      <c r="I18" s="26" t="s">
        <v>1023</v>
      </c>
      <c r="J18" s="26" t="s">
        <v>1024</v>
      </c>
    </row>
    <row r="19" customFormat="false" ht="37.5" hidden="false" customHeight="true" outlineLevel="0" collapsed="false">
      <c r="A19" s="66" t="s">
        <v>1025</v>
      </c>
      <c r="B19" s="25" t="s">
        <v>1026</v>
      </c>
      <c r="C19" s="25" t="s">
        <v>1027</v>
      </c>
      <c r="D19" s="25" t="s">
        <v>571</v>
      </c>
      <c r="E19" s="25" t="s">
        <v>571</v>
      </c>
      <c r="F19" s="25" t="s">
        <v>571</v>
      </c>
      <c r="G19" s="25" t="s">
        <v>571</v>
      </c>
      <c r="H19" s="25" t="s">
        <v>1028</v>
      </c>
      <c r="I19" s="25" t="s">
        <v>1029</v>
      </c>
      <c r="J19" s="25" t="s">
        <v>1030</v>
      </c>
    </row>
    <row r="20" customFormat="false" ht="37.5" hidden="false" customHeight="true" outlineLevel="0" collapsed="false">
      <c r="A20" s="66" t="s">
        <v>1031</v>
      </c>
      <c r="B20" s="26" t="s">
        <v>1032</v>
      </c>
      <c r="C20" s="26" t="s">
        <v>1033</v>
      </c>
      <c r="D20" s="26" t="s">
        <v>571</v>
      </c>
      <c r="E20" s="26" t="s">
        <v>571</v>
      </c>
      <c r="F20" s="26" t="s">
        <v>571</v>
      </c>
      <c r="G20" s="26" t="s">
        <v>571</v>
      </c>
      <c r="H20" s="26" t="s">
        <v>1034</v>
      </c>
      <c r="I20" s="26" t="s">
        <v>1035</v>
      </c>
      <c r="J20" s="26" t="s">
        <v>1036</v>
      </c>
    </row>
    <row r="21" customFormat="false" ht="37.5" hidden="false" customHeight="true" outlineLevel="0" collapsed="false">
      <c r="A21" s="66" t="s">
        <v>1037</v>
      </c>
      <c r="B21" s="25" t="s">
        <v>1038</v>
      </c>
      <c r="C21" s="25" t="s">
        <v>1039</v>
      </c>
      <c r="D21" s="25" t="s">
        <v>571</v>
      </c>
      <c r="E21" s="25" t="s">
        <v>571</v>
      </c>
      <c r="F21" s="25" t="s">
        <v>1040</v>
      </c>
      <c r="G21" s="25" t="s">
        <v>571</v>
      </c>
      <c r="H21" s="25" t="s">
        <v>1041</v>
      </c>
      <c r="I21" s="25" t="s">
        <v>1042</v>
      </c>
      <c r="J21" s="25" t="s">
        <v>1043</v>
      </c>
    </row>
    <row r="22" customFormat="false" ht="37.5" hidden="false" customHeight="true" outlineLevel="0" collapsed="false">
      <c r="A22" s="66" t="s">
        <v>1044</v>
      </c>
      <c r="B22" s="26" t="s">
        <v>1045</v>
      </c>
      <c r="C22" s="26" t="s">
        <v>1046</v>
      </c>
      <c r="D22" s="26" t="s">
        <v>472</v>
      </c>
      <c r="E22" s="26" t="s">
        <v>472</v>
      </c>
      <c r="F22" s="26" t="s">
        <v>1047</v>
      </c>
      <c r="G22" s="26" t="s">
        <v>1048</v>
      </c>
      <c r="H22" s="26" t="s">
        <v>1049</v>
      </c>
      <c r="I22" s="26" t="s">
        <v>1050</v>
      </c>
      <c r="J22" s="26" t="s">
        <v>1051</v>
      </c>
    </row>
    <row r="23" customFormat="false" ht="37.5" hidden="false" customHeight="true" outlineLevel="0" collapsed="false">
      <c r="A23" s="66" t="s">
        <v>1052</v>
      </c>
      <c r="B23" s="25" t="s">
        <v>1053</v>
      </c>
      <c r="C23" s="25" t="s">
        <v>1054</v>
      </c>
      <c r="D23" s="25" t="s">
        <v>472</v>
      </c>
      <c r="E23" s="25" t="s">
        <v>472</v>
      </c>
      <c r="F23" s="25" t="s">
        <v>1055</v>
      </c>
      <c r="G23" s="25" t="s">
        <v>1055</v>
      </c>
      <c r="H23" s="25" t="s">
        <v>1056</v>
      </c>
      <c r="I23" s="25" t="s">
        <v>1057</v>
      </c>
      <c r="J23" s="25" t="s">
        <v>1058</v>
      </c>
    </row>
    <row r="24" customFormat="false" ht="37.5" hidden="false" customHeight="true" outlineLevel="0" collapsed="false">
      <c r="A24" s="66" t="s">
        <v>1059</v>
      </c>
      <c r="B24" s="26" t="s">
        <v>1060</v>
      </c>
      <c r="C24" s="26" t="s">
        <v>1061</v>
      </c>
      <c r="D24" s="26" t="s">
        <v>571</v>
      </c>
      <c r="E24" s="26" t="s">
        <v>571</v>
      </c>
      <c r="F24" s="26" t="s">
        <v>571</v>
      </c>
      <c r="G24" s="26" t="s">
        <v>571</v>
      </c>
      <c r="H24" s="26" t="s">
        <v>1062</v>
      </c>
      <c r="I24" s="26" t="s">
        <v>1063</v>
      </c>
      <c r="J24" s="26" t="s">
        <v>1064</v>
      </c>
    </row>
    <row r="25" customFormat="false" ht="37.5" hidden="false" customHeight="true" outlineLevel="0" collapsed="false">
      <c r="A25" s="66" t="s">
        <v>1065</v>
      </c>
      <c r="B25" s="25" t="s">
        <v>1066</v>
      </c>
      <c r="C25" s="25" t="s">
        <v>1067</v>
      </c>
      <c r="D25" s="25" t="s">
        <v>571</v>
      </c>
      <c r="E25" s="25" t="s">
        <v>571</v>
      </c>
      <c r="F25" s="25" t="s">
        <v>571</v>
      </c>
      <c r="G25" s="25" t="s">
        <v>571</v>
      </c>
      <c r="H25" s="25" t="s">
        <v>1068</v>
      </c>
      <c r="I25" s="25" t="s">
        <v>1069</v>
      </c>
      <c r="J25" s="25" t="s">
        <v>1070</v>
      </c>
    </row>
    <row r="27" customFormat="false" ht="15" hidden="false" customHeight="true" outlineLevel="0" collapsed="false">
      <c r="A27" s="68" t="s">
        <v>1071</v>
      </c>
      <c r="B27" s="68"/>
      <c r="C27" s="68"/>
      <c r="D27" s="68"/>
      <c r="E27" s="68"/>
      <c r="F27" s="68"/>
      <c r="G27" s="68"/>
      <c r="H27" s="68"/>
      <c r="I27" s="68"/>
      <c r="J27" s="68"/>
    </row>
    <row r="28" customFormat="false" ht="15" hidden="false" customHeight="true" outlineLevel="0" collapsed="false">
      <c r="A28" s="69" t="s">
        <v>1072</v>
      </c>
      <c r="B28" s="69"/>
      <c r="C28" s="69"/>
      <c r="D28" s="69"/>
      <c r="E28" s="69"/>
      <c r="F28" s="69"/>
      <c r="G28" s="69"/>
      <c r="H28" s="69"/>
      <c r="I28" s="69"/>
      <c r="J28" s="69"/>
    </row>
    <row r="29" customFormat="false" ht="15" hidden="false" customHeight="true" outlineLevel="0" collapsed="false">
      <c r="A29" s="69" t="s">
        <v>1073</v>
      </c>
      <c r="B29" s="69"/>
      <c r="C29" s="69"/>
      <c r="D29" s="69"/>
      <c r="E29" s="69"/>
      <c r="F29" s="69"/>
      <c r="G29" s="69"/>
      <c r="H29" s="69"/>
      <c r="I29" s="69"/>
      <c r="J29" s="69"/>
    </row>
    <row r="30" customFormat="false" ht="15" hidden="false" customHeight="true" outlineLevel="0" collapsed="false">
      <c r="A30" s="69" t="s">
        <v>1074</v>
      </c>
      <c r="B30" s="69"/>
      <c r="C30" s="69"/>
      <c r="D30" s="69"/>
      <c r="E30" s="69"/>
      <c r="F30" s="69"/>
      <c r="G30" s="69"/>
      <c r="H30" s="69"/>
      <c r="I30" s="69"/>
      <c r="J30" s="69"/>
    </row>
    <row r="31" customFormat="false" ht="15" hidden="false" customHeight="true" outlineLevel="0" collapsed="false">
      <c r="A31" s="69" t="s">
        <v>1075</v>
      </c>
      <c r="B31" s="69"/>
      <c r="C31" s="69"/>
      <c r="D31" s="69"/>
      <c r="E31" s="69"/>
      <c r="F31" s="69"/>
      <c r="G31" s="69"/>
      <c r="H31" s="69"/>
      <c r="I31" s="69"/>
      <c r="J31" s="69"/>
    </row>
    <row r="32" customFormat="false" ht="15" hidden="false" customHeight="true" outlineLevel="0" collapsed="false">
      <c r="A32" s="69" t="s">
        <v>1076</v>
      </c>
      <c r="B32" s="69"/>
      <c r="C32" s="69"/>
      <c r="D32" s="69"/>
      <c r="E32" s="69"/>
      <c r="F32" s="69"/>
      <c r="G32" s="69"/>
      <c r="H32" s="69"/>
      <c r="I32" s="69"/>
      <c r="J32" s="69"/>
    </row>
    <row r="33" customFormat="false" ht="15" hidden="false" customHeight="true" outlineLevel="0" collapsed="false">
      <c r="A33" s="69" t="s">
        <v>1077</v>
      </c>
      <c r="B33" s="69"/>
      <c r="C33" s="69"/>
      <c r="D33" s="69"/>
      <c r="E33" s="69"/>
      <c r="F33" s="69"/>
      <c r="G33" s="69"/>
      <c r="H33" s="69"/>
      <c r="I33" s="69"/>
      <c r="J33" s="69"/>
    </row>
    <row r="34" customFormat="false" ht="15" hidden="false" customHeight="true" outlineLevel="0" collapsed="false">
      <c r="A34" s="69" t="s">
        <v>1078</v>
      </c>
      <c r="B34" s="69"/>
      <c r="C34" s="69"/>
      <c r="D34" s="69"/>
      <c r="E34" s="69"/>
      <c r="F34" s="69"/>
      <c r="G34" s="69"/>
      <c r="H34" s="69"/>
      <c r="I34" s="69"/>
      <c r="J34" s="69"/>
    </row>
    <row r="35" customFormat="false" ht="15" hidden="false" customHeight="true" outlineLevel="0" collapsed="false">
      <c r="A35" s="69" t="s">
        <v>1079</v>
      </c>
      <c r="B35" s="69"/>
      <c r="C35" s="69"/>
      <c r="D35" s="69"/>
      <c r="E35" s="69"/>
      <c r="F35" s="69"/>
      <c r="G35" s="69"/>
      <c r="H35" s="69"/>
      <c r="I35" s="69"/>
      <c r="J35" s="69"/>
    </row>
    <row r="36" customFormat="false" ht="15" hidden="false" customHeight="true" outlineLevel="0" collapsed="false">
      <c r="A36" s="69" t="s">
        <v>1080</v>
      </c>
      <c r="B36" s="69"/>
      <c r="C36" s="69"/>
      <c r="D36" s="69"/>
      <c r="E36" s="69"/>
      <c r="F36" s="69"/>
      <c r="G36" s="69"/>
      <c r="H36" s="69"/>
      <c r="I36" s="69"/>
      <c r="J36" s="69"/>
    </row>
    <row r="37" customFormat="false" ht="15" hidden="false" customHeight="true" outlineLevel="0" collapsed="false">
      <c r="A37" s="69" t="s">
        <v>1081</v>
      </c>
      <c r="B37" s="69"/>
      <c r="C37" s="69"/>
      <c r="D37" s="69"/>
      <c r="E37" s="69"/>
      <c r="F37" s="69"/>
      <c r="G37" s="69"/>
      <c r="H37" s="69"/>
      <c r="I37" s="69"/>
      <c r="J37" s="69"/>
    </row>
  </sheetData>
  <mergeCells count="15">
    <mergeCell ref="A1:I1"/>
    <mergeCell ref="A2:J2"/>
    <mergeCell ref="A9:J9"/>
    <mergeCell ref="A16:J16"/>
    <mergeCell ref="A27:J27"/>
    <mergeCell ref="A28:J28"/>
    <mergeCell ref="A29:J29"/>
    <mergeCell ref="A30:J30"/>
    <mergeCell ref="A31:J31"/>
    <mergeCell ref="A32:J32"/>
    <mergeCell ref="A33:J33"/>
    <mergeCell ref="A34:J34"/>
    <mergeCell ref="A35:J35"/>
    <mergeCell ref="A36:J36"/>
    <mergeCell ref="A37:J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C8C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4" min="3" style="1" width="14"/>
    <col collapsed="false" customWidth="true" hidden="false" outlineLevel="0" max="5" min="5" style="1" width="38"/>
    <col collapsed="false" customWidth="true" hidden="false" outlineLevel="0" max="6" min="6" style="1" width="55"/>
  </cols>
  <sheetData>
    <row r="1" customFormat="false" ht="27.75" hidden="false" customHeight="true" outlineLevel="0" collapsed="false">
      <c r="A1" s="21" t="s">
        <v>1082</v>
      </c>
      <c r="B1" s="21"/>
      <c r="C1" s="21"/>
      <c r="D1" s="21"/>
      <c r="E1" s="21"/>
      <c r="F1" s="21"/>
      <c r="G1" s="21"/>
      <c r="H1" s="21"/>
    </row>
    <row r="2" customFormat="false" ht="15" hidden="false" customHeight="true" outlineLevel="0" collapsed="false">
      <c r="A2" s="22" t="s">
        <v>1083</v>
      </c>
      <c r="B2" s="22"/>
      <c r="C2" s="22"/>
      <c r="D2" s="22"/>
      <c r="E2" s="22"/>
      <c r="F2" s="22"/>
      <c r="G2" s="22"/>
      <c r="H2" s="22"/>
    </row>
    <row r="3" customFormat="false" ht="27.75" hidden="false" customHeight="true" outlineLevel="0" collapsed="false">
      <c r="A3" s="17" t="s">
        <v>1084</v>
      </c>
      <c r="B3" s="17" t="s">
        <v>1085</v>
      </c>
      <c r="C3" s="17" t="s">
        <v>1086</v>
      </c>
      <c r="D3" s="17" t="s">
        <v>1087</v>
      </c>
      <c r="E3" s="17" t="s">
        <v>1088</v>
      </c>
      <c r="F3" s="17" t="s">
        <v>1089</v>
      </c>
    </row>
    <row r="4" customFormat="false" ht="36" hidden="false" customHeight="true" outlineLevel="0" collapsed="false">
      <c r="A4" s="70" t="s">
        <v>1090</v>
      </c>
      <c r="B4" s="71" t="s">
        <v>1091</v>
      </c>
      <c r="C4" s="71" t="s">
        <v>1092</v>
      </c>
      <c r="D4" s="71" t="s">
        <v>1093</v>
      </c>
      <c r="E4" s="71" t="s">
        <v>1094</v>
      </c>
      <c r="F4" s="71" t="s">
        <v>1095</v>
      </c>
    </row>
    <row r="5" customFormat="false" ht="36" hidden="false" customHeight="true" outlineLevel="0" collapsed="false">
      <c r="A5" s="70" t="s">
        <v>1096</v>
      </c>
      <c r="B5" s="26" t="s">
        <v>1097</v>
      </c>
      <c r="C5" s="26" t="s">
        <v>1098</v>
      </c>
      <c r="D5" s="26" t="s">
        <v>1099</v>
      </c>
      <c r="E5" s="26" t="s">
        <v>1100</v>
      </c>
      <c r="F5" s="26" t="s">
        <v>1101</v>
      </c>
    </row>
    <row r="6" customFormat="false" ht="36" hidden="false" customHeight="true" outlineLevel="0" collapsed="false">
      <c r="A6" s="70" t="s">
        <v>1102</v>
      </c>
      <c r="B6" s="71" t="s">
        <v>1103</v>
      </c>
      <c r="C6" s="71" t="s">
        <v>1104</v>
      </c>
      <c r="D6" s="71" t="s">
        <v>1105</v>
      </c>
      <c r="E6" s="71" t="s">
        <v>1106</v>
      </c>
      <c r="F6" s="71" t="s">
        <v>1107</v>
      </c>
    </row>
    <row r="7" customFormat="false" ht="36" hidden="false" customHeight="true" outlineLevel="0" collapsed="false">
      <c r="A7" s="70" t="s">
        <v>1108</v>
      </c>
      <c r="B7" s="26" t="s">
        <v>1109</v>
      </c>
      <c r="C7" s="26" t="s">
        <v>1110</v>
      </c>
      <c r="D7" s="26" t="s">
        <v>1111</v>
      </c>
      <c r="E7" s="26" t="s">
        <v>1112</v>
      </c>
      <c r="F7" s="26" t="s">
        <v>1113</v>
      </c>
    </row>
    <row r="8" customFormat="false" ht="36" hidden="false" customHeight="true" outlineLevel="0" collapsed="false">
      <c r="A8" s="70" t="s">
        <v>1114</v>
      </c>
      <c r="B8" s="71" t="s">
        <v>1115</v>
      </c>
      <c r="C8" s="71" t="s">
        <v>1116</v>
      </c>
      <c r="D8" s="71" t="s">
        <v>1117</v>
      </c>
      <c r="E8" s="71" t="s">
        <v>1118</v>
      </c>
      <c r="F8" s="71" t="s">
        <v>1119</v>
      </c>
    </row>
    <row r="9" customFormat="false" ht="36" hidden="false" customHeight="true" outlineLevel="0" collapsed="false">
      <c r="A9" s="70" t="s">
        <v>1120</v>
      </c>
      <c r="B9" s="26" t="s">
        <v>1121</v>
      </c>
      <c r="C9" s="26" t="s">
        <v>1122</v>
      </c>
      <c r="D9" s="26" t="s">
        <v>1123</v>
      </c>
      <c r="E9" s="26" t="s">
        <v>1124</v>
      </c>
      <c r="F9" s="26" t="s">
        <v>1125</v>
      </c>
    </row>
    <row r="11" customFormat="false" ht="15" hidden="false" customHeight="true" outlineLevel="0" collapsed="false">
      <c r="A11" s="72" t="s">
        <v>1126</v>
      </c>
      <c r="B11" s="72"/>
      <c r="C11" s="72"/>
      <c r="D11" s="72"/>
      <c r="E11" s="72"/>
      <c r="F11" s="72"/>
      <c r="G11" s="72"/>
      <c r="H11" s="72"/>
    </row>
    <row r="12" customFormat="false" ht="21.75" hidden="false" customHeight="true" outlineLevel="0" collapsed="false">
      <c r="A12" s="17" t="s">
        <v>1127</v>
      </c>
      <c r="B12" s="17" t="s">
        <v>1128</v>
      </c>
      <c r="C12" s="17" t="s">
        <v>1129</v>
      </c>
      <c r="D12" s="17" t="s">
        <v>1130</v>
      </c>
    </row>
    <row r="13" customFormat="false" ht="37.5" hidden="false" customHeight="true" outlineLevel="0" collapsed="false">
      <c r="A13" s="37" t="s">
        <v>1131</v>
      </c>
      <c r="B13" s="37" t="s">
        <v>1132</v>
      </c>
      <c r="C13" s="37" t="s">
        <v>1133</v>
      </c>
      <c r="D13" s="37" t="s">
        <v>1134</v>
      </c>
    </row>
    <row r="14" customFormat="false" ht="37.5" hidden="false" customHeight="true" outlineLevel="0" collapsed="false">
      <c r="A14" s="35" t="s">
        <v>1135</v>
      </c>
      <c r="B14" s="35" t="s">
        <v>1136</v>
      </c>
      <c r="C14" s="35" t="s">
        <v>1137</v>
      </c>
      <c r="D14" s="35" t="s">
        <v>1138</v>
      </c>
    </row>
    <row r="15" customFormat="false" ht="37.5" hidden="false" customHeight="true" outlineLevel="0" collapsed="false">
      <c r="A15" s="73" t="s">
        <v>1139</v>
      </c>
      <c r="B15" s="73" t="s">
        <v>1140</v>
      </c>
      <c r="C15" s="73" t="s">
        <v>1141</v>
      </c>
      <c r="D15" s="73" t="s">
        <v>1142</v>
      </c>
    </row>
    <row r="17" customFormat="false" ht="15" hidden="false" customHeight="true" outlineLevel="0" collapsed="false">
      <c r="A17" s="74" t="s">
        <v>1143</v>
      </c>
      <c r="B17" s="74"/>
      <c r="C17" s="74"/>
      <c r="D17" s="74"/>
      <c r="E17" s="74"/>
      <c r="F17" s="74"/>
      <c r="G17" s="74"/>
      <c r="H17" s="74"/>
    </row>
    <row r="18" customFormat="false" ht="21.75" hidden="false" customHeight="true" outlineLevel="0" collapsed="false">
      <c r="A18" s="28" t="s">
        <v>1144</v>
      </c>
      <c r="B18" s="75" t="s">
        <v>1145</v>
      </c>
      <c r="C18" s="19"/>
      <c r="D18" s="76" t="str">
        <f aca="false">IF(C18="","",50+0.91*(C18-152.4))</f>
        <v/>
      </c>
    </row>
    <row r="19" customFormat="false" ht="21.75" hidden="false" customHeight="true" outlineLevel="0" collapsed="false">
      <c r="A19" s="28" t="s">
        <v>1146</v>
      </c>
      <c r="B19" s="75" t="s">
        <v>1147</v>
      </c>
      <c r="C19" s="19"/>
      <c r="D19" s="76" t="str">
        <f aca="false">IF(C19="","",45.5+0.91*(C19-152.4))</f>
        <v/>
      </c>
    </row>
    <row r="20" customFormat="false" ht="21.75" hidden="false" customHeight="true" outlineLevel="0" collapsed="false">
      <c r="A20" s="28" t="s">
        <v>1148</v>
      </c>
      <c r="B20" s="75" t="s">
        <v>1149</v>
      </c>
      <c r="C20" s="19"/>
      <c r="D20" s="76" t="str">
        <f aca="false">IF(C20="","",C20*4)</f>
        <v/>
      </c>
    </row>
    <row r="21" customFormat="false" ht="21.75" hidden="false" customHeight="true" outlineLevel="0" collapsed="false">
      <c r="A21" s="28" t="s">
        <v>1150</v>
      </c>
      <c r="B21" s="75" t="s">
        <v>1149</v>
      </c>
      <c r="C21" s="19"/>
      <c r="D21" s="76" t="str">
        <f aca="false">IF(C21="","",C21*8)</f>
        <v/>
      </c>
    </row>
    <row r="22" customFormat="false" ht="21.75" hidden="false" customHeight="true" outlineLevel="0" collapsed="false">
      <c r="A22" s="28" t="s">
        <v>1151</v>
      </c>
      <c r="B22" s="75" t="s">
        <v>1152</v>
      </c>
      <c r="C22" s="19"/>
      <c r="D22" s="76" t="str">
        <f aca="false">IF(C22="","",C22)</f>
        <v/>
      </c>
    </row>
    <row r="23" customFormat="false" ht="21.75" hidden="false" customHeight="true" outlineLevel="0" collapsed="false">
      <c r="A23" s="28" t="s">
        <v>1153</v>
      </c>
      <c r="B23" s="75" t="s">
        <v>1154</v>
      </c>
      <c r="C23" s="19"/>
      <c r="D23" s="76" t="str">
        <f aca="false">IF(C23="","","Ver fórmula: Vc/(Pplatô-PEEP)")</f>
        <v/>
      </c>
    </row>
    <row r="24" customFormat="false" ht="21.75" hidden="false" customHeight="true" outlineLevel="0" collapsed="false">
      <c r="A24" s="28" t="s">
        <v>1155</v>
      </c>
      <c r="B24" s="75" t="s">
        <v>1156</v>
      </c>
      <c r="C24" s="19"/>
      <c r="D24" s="76" t="str">
        <f aca="false">IF(C24="","",C24)</f>
        <v/>
      </c>
    </row>
    <row r="25" customFormat="false" ht="21.75" hidden="false" customHeight="true" outlineLevel="0" collapsed="false">
      <c r="A25" s="28" t="s">
        <v>1157</v>
      </c>
      <c r="B25" s="75" t="s">
        <v>1158</v>
      </c>
      <c r="C25" s="19"/>
      <c r="D25" s="76" t="str">
        <f aca="false">IF(C25="","",IF(C25&gt;300,"Normal",IF(C25&gt;200,"SDRA Leve",IF(C25&gt;100,"SDRA Moderada","SDRA Grave"))))</f>
        <v/>
      </c>
    </row>
    <row r="28" customFormat="false" ht="15" hidden="false" customHeight="true" outlineLevel="0" collapsed="false">
      <c r="A28" s="77" t="s">
        <v>1159</v>
      </c>
      <c r="B28" s="77"/>
      <c r="C28" s="77"/>
      <c r="D28" s="77"/>
      <c r="E28" s="77"/>
      <c r="F28" s="77"/>
      <c r="G28" s="77"/>
      <c r="H28" s="77"/>
    </row>
    <row r="29" customFormat="false" ht="24" hidden="false" customHeight="true" outlineLevel="0" collapsed="false">
      <c r="A29" s="17" t="s">
        <v>1160</v>
      </c>
      <c r="B29" s="17" t="s">
        <v>1161</v>
      </c>
      <c r="C29" s="17" t="s">
        <v>1162</v>
      </c>
      <c r="D29" s="17" t="s">
        <v>1163</v>
      </c>
      <c r="E29" s="17" t="s">
        <v>1164</v>
      </c>
      <c r="F29" s="17" t="s">
        <v>1165</v>
      </c>
    </row>
    <row r="30" customFormat="false" ht="42" hidden="false" customHeight="true" outlineLevel="0" collapsed="false">
      <c r="A30" s="70" t="s">
        <v>1166</v>
      </c>
      <c r="B30" s="25" t="s">
        <v>1167</v>
      </c>
      <c r="C30" s="25" t="s">
        <v>1168</v>
      </c>
      <c r="D30" s="25" t="s">
        <v>1169</v>
      </c>
      <c r="E30" s="25" t="s">
        <v>1170</v>
      </c>
      <c r="F30" s="25" t="s">
        <v>1171</v>
      </c>
    </row>
    <row r="31" customFormat="false" ht="42" hidden="false" customHeight="true" outlineLevel="0" collapsed="false">
      <c r="A31" s="70" t="s">
        <v>1172</v>
      </c>
      <c r="B31" s="26" t="s">
        <v>1173</v>
      </c>
      <c r="C31" s="26" t="s">
        <v>1174</v>
      </c>
      <c r="D31" s="26" t="s">
        <v>1175</v>
      </c>
      <c r="E31" s="26" t="s">
        <v>1176</v>
      </c>
      <c r="F31" s="26" t="s">
        <v>1177</v>
      </c>
    </row>
    <row r="32" customFormat="false" ht="42" hidden="false" customHeight="true" outlineLevel="0" collapsed="false">
      <c r="A32" s="70" t="s">
        <v>1178</v>
      </c>
      <c r="B32" s="25" t="s">
        <v>1167</v>
      </c>
      <c r="C32" s="25" t="s">
        <v>1179</v>
      </c>
      <c r="D32" s="25" t="s">
        <v>1180</v>
      </c>
      <c r="E32" s="25" t="s">
        <v>1181</v>
      </c>
      <c r="F32" s="25" t="s">
        <v>1182</v>
      </c>
    </row>
    <row r="33" customFormat="false" ht="42" hidden="false" customHeight="true" outlineLevel="0" collapsed="false">
      <c r="A33" s="70" t="s">
        <v>1183</v>
      </c>
      <c r="B33" s="26" t="s">
        <v>1173</v>
      </c>
      <c r="C33" s="26" t="s">
        <v>1184</v>
      </c>
      <c r="D33" s="26" t="s">
        <v>1185</v>
      </c>
      <c r="E33" s="26" t="s">
        <v>1186</v>
      </c>
      <c r="F33" s="26" t="s">
        <v>1187</v>
      </c>
    </row>
    <row r="34" customFormat="false" ht="42" hidden="false" customHeight="true" outlineLevel="0" collapsed="false">
      <c r="A34" s="70" t="s">
        <v>1188</v>
      </c>
      <c r="B34" s="25" t="s">
        <v>472</v>
      </c>
      <c r="C34" s="25" t="s">
        <v>472</v>
      </c>
      <c r="D34" s="25" t="s">
        <v>472</v>
      </c>
      <c r="E34" s="25" t="s">
        <v>1189</v>
      </c>
      <c r="F34" s="25" t="s">
        <v>1190</v>
      </c>
    </row>
    <row r="35" customFormat="false" ht="42" hidden="false" customHeight="true" outlineLevel="0" collapsed="false">
      <c r="A35" s="70" t="s">
        <v>1191</v>
      </c>
      <c r="B35" s="26" t="s">
        <v>472</v>
      </c>
      <c r="C35" s="26" t="s">
        <v>472</v>
      </c>
      <c r="D35" s="26" t="s">
        <v>472</v>
      </c>
      <c r="E35" s="26" t="s">
        <v>1192</v>
      </c>
      <c r="F35" s="26" t="s">
        <v>1193</v>
      </c>
    </row>
    <row r="36" customFormat="false" ht="42" hidden="false" customHeight="true" outlineLevel="0" collapsed="false">
      <c r="A36" s="70" t="s">
        <v>1194</v>
      </c>
      <c r="B36" s="25" t="s">
        <v>472</v>
      </c>
      <c r="C36" s="25" t="s">
        <v>472</v>
      </c>
      <c r="D36" s="25" t="s">
        <v>472</v>
      </c>
      <c r="E36" s="25" t="s">
        <v>1195</v>
      </c>
      <c r="F36" s="25" t="s">
        <v>1196</v>
      </c>
    </row>
    <row r="37" customFormat="false" ht="42" hidden="false" customHeight="true" outlineLevel="0" collapsed="false">
      <c r="A37" s="70" t="s">
        <v>1197</v>
      </c>
      <c r="B37" s="26" t="s">
        <v>472</v>
      </c>
      <c r="C37" s="26" t="s">
        <v>472</v>
      </c>
      <c r="D37" s="26" t="s">
        <v>472</v>
      </c>
      <c r="E37" s="26" t="s">
        <v>1198</v>
      </c>
      <c r="F37" s="26" t="s">
        <v>1199</v>
      </c>
    </row>
  </sheetData>
  <mergeCells count="5">
    <mergeCell ref="A1:H1"/>
    <mergeCell ref="A2:H2"/>
    <mergeCell ref="A11:H11"/>
    <mergeCell ref="A17:H1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26"/>
    <col collapsed="false" customWidth="true" hidden="false" outlineLevel="0" max="7" min="6" style="1" width="35"/>
  </cols>
  <sheetData>
    <row r="1" customFormat="false" ht="27.75" hidden="false" customHeight="true" outlineLevel="0" collapsed="false">
      <c r="A1" s="48" t="s">
        <v>1200</v>
      </c>
      <c r="B1" s="48"/>
      <c r="C1" s="48"/>
      <c r="D1" s="48"/>
      <c r="E1" s="48"/>
      <c r="F1" s="48"/>
      <c r="G1" s="48"/>
    </row>
    <row r="2" customFormat="false" ht="15" hidden="false" customHeight="true" outlineLevel="0" collapsed="false">
      <c r="A2" s="49" t="s">
        <v>1201</v>
      </c>
      <c r="B2" s="49"/>
      <c r="C2" s="49"/>
      <c r="D2" s="49"/>
      <c r="E2" s="49"/>
      <c r="F2" s="49"/>
      <c r="G2" s="49"/>
    </row>
    <row r="3" customFormat="false" ht="36" hidden="false" customHeight="true" outlineLevel="0" collapsed="false">
      <c r="A3" s="78" t="s">
        <v>1202</v>
      </c>
      <c r="B3" s="79" t="s">
        <v>1203</v>
      </c>
      <c r="C3" s="79"/>
      <c r="D3" s="80" t="s">
        <v>1204</v>
      </c>
      <c r="E3" s="80"/>
      <c r="F3" s="80"/>
      <c r="G3" s="80"/>
    </row>
    <row r="4" customFormat="false" ht="36" hidden="false" customHeight="true" outlineLevel="0" collapsed="false">
      <c r="A4" s="78" t="s">
        <v>1205</v>
      </c>
      <c r="B4" s="79" t="s">
        <v>1206</v>
      </c>
      <c r="C4" s="79"/>
      <c r="D4" s="80" t="s">
        <v>1207</v>
      </c>
      <c r="E4" s="80"/>
      <c r="F4" s="80"/>
      <c r="G4" s="80"/>
    </row>
    <row r="5" customFormat="false" ht="36" hidden="false" customHeight="true" outlineLevel="0" collapsed="false">
      <c r="A5" s="78" t="s">
        <v>1208</v>
      </c>
      <c r="B5" s="79" t="s">
        <v>1209</v>
      </c>
      <c r="C5" s="79"/>
      <c r="D5" s="80" t="s">
        <v>1210</v>
      </c>
      <c r="E5" s="80"/>
      <c r="F5" s="80"/>
      <c r="G5" s="80"/>
    </row>
    <row r="6" customFormat="false" ht="36" hidden="false" customHeight="true" outlineLevel="0" collapsed="false">
      <c r="A6" s="78" t="s">
        <v>1211</v>
      </c>
      <c r="B6" s="79" t="s">
        <v>1212</v>
      </c>
      <c r="C6" s="79"/>
      <c r="D6" s="80" t="s">
        <v>1213</v>
      </c>
      <c r="E6" s="80"/>
      <c r="F6" s="80"/>
      <c r="G6" s="80"/>
    </row>
    <row r="7" customFormat="false" ht="36" hidden="false" customHeight="true" outlineLevel="0" collapsed="false">
      <c r="A7" s="78" t="s">
        <v>1214</v>
      </c>
      <c r="B7" s="79" t="s">
        <v>1215</v>
      </c>
      <c r="C7" s="79"/>
      <c r="D7" s="80" t="s">
        <v>1216</v>
      </c>
      <c r="E7" s="80"/>
      <c r="F7" s="80"/>
      <c r="G7" s="80"/>
    </row>
    <row r="9" customFormat="false" ht="15" hidden="false" customHeight="true" outlineLevel="0" collapsed="false">
      <c r="A9" s="51" t="s">
        <v>1217</v>
      </c>
      <c r="B9" s="51"/>
      <c r="C9" s="51"/>
      <c r="D9" s="51"/>
      <c r="E9" s="51"/>
      <c r="F9" s="51"/>
      <c r="G9" s="51"/>
    </row>
    <row r="10" customFormat="false" ht="36" hidden="false" customHeight="true" outlineLevel="0" collapsed="false">
      <c r="A10" s="78" t="s">
        <v>1218</v>
      </c>
      <c r="B10" s="79" t="s">
        <v>1219</v>
      </c>
      <c r="C10" s="79"/>
      <c r="D10" s="80" t="s">
        <v>1220</v>
      </c>
      <c r="E10" s="80"/>
      <c r="F10" s="80"/>
      <c r="G10" s="80"/>
    </row>
    <row r="11" customFormat="false" ht="36" hidden="false" customHeight="true" outlineLevel="0" collapsed="false">
      <c r="A11" s="78" t="s">
        <v>1221</v>
      </c>
      <c r="B11" s="79" t="s">
        <v>1222</v>
      </c>
      <c r="C11" s="79"/>
      <c r="D11" s="80" t="s">
        <v>1223</v>
      </c>
      <c r="E11" s="80"/>
      <c r="F11" s="80"/>
      <c r="G11" s="80"/>
    </row>
    <row r="12" customFormat="false" ht="36" hidden="false" customHeight="true" outlineLevel="0" collapsed="false">
      <c r="A12" s="78" t="s">
        <v>1224</v>
      </c>
      <c r="B12" s="79" t="s">
        <v>1225</v>
      </c>
      <c r="C12" s="79"/>
      <c r="D12" s="80" t="s">
        <v>1226</v>
      </c>
      <c r="E12" s="80"/>
      <c r="F12" s="80"/>
      <c r="G12" s="80"/>
    </row>
    <row r="13" customFormat="false" ht="36" hidden="false" customHeight="true" outlineLevel="0" collapsed="false">
      <c r="A13" s="78" t="s">
        <v>1227</v>
      </c>
      <c r="B13" s="79" t="s">
        <v>313</v>
      </c>
      <c r="C13" s="79"/>
      <c r="D13" s="80" t="s">
        <v>1228</v>
      </c>
      <c r="E13" s="80"/>
      <c r="F13" s="80"/>
      <c r="G13" s="80"/>
    </row>
    <row r="14" customFormat="false" ht="36" hidden="false" customHeight="true" outlineLevel="0" collapsed="false">
      <c r="A14" s="78" t="s">
        <v>1229</v>
      </c>
      <c r="B14" s="79" t="s">
        <v>1230</v>
      </c>
      <c r="C14" s="79"/>
      <c r="D14" s="80" t="s">
        <v>1231</v>
      </c>
      <c r="E14" s="80"/>
      <c r="F14" s="80"/>
      <c r="G14" s="80"/>
    </row>
    <row r="16" customFormat="false" ht="15" hidden="false" customHeight="true" outlineLevel="0" collapsed="false">
      <c r="A16" s="74" t="s">
        <v>1232</v>
      </c>
      <c r="B16" s="74"/>
      <c r="C16" s="74"/>
      <c r="D16" s="74"/>
      <c r="E16" s="74"/>
      <c r="F16" s="74"/>
      <c r="G16" s="74"/>
    </row>
    <row r="17" customFormat="false" ht="15" hidden="false" customHeight="true" outlineLevel="0" collapsed="false">
      <c r="A17" s="17" t="s">
        <v>1233</v>
      </c>
      <c r="B17" s="17" t="s">
        <v>1234</v>
      </c>
      <c r="C17" s="17" t="s">
        <v>1235</v>
      </c>
      <c r="D17" s="17" t="s">
        <v>1236</v>
      </c>
      <c r="E17" s="17" t="s">
        <v>1237</v>
      </c>
      <c r="F17" s="17" t="s">
        <v>1238</v>
      </c>
      <c r="G17" s="17" t="s">
        <v>1239</v>
      </c>
    </row>
    <row r="18" customFormat="false" ht="45.75" hidden="false" customHeight="true" outlineLevel="0" collapsed="false">
      <c r="A18" s="66" t="s">
        <v>1240</v>
      </c>
      <c r="B18" s="26" t="s">
        <v>1241</v>
      </c>
      <c r="C18" s="26" t="s">
        <v>1242</v>
      </c>
      <c r="D18" s="26" t="s">
        <v>1243</v>
      </c>
      <c r="E18" s="26" t="s">
        <v>289</v>
      </c>
      <c r="F18" s="26" t="s">
        <v>1244</v>
      </c>
      <c r="G18" s="26" t="s">
        <v>1245</v>
      </c>
    </row>
    <row r="19" customFormat="false" ht="45.75" hidden="false" customHeight="true" outlineLevel="0" collapsed="false">
      <c r="A19" s="66" t="s">
        <v>1246</v>
      </c>
      <c r="B19" s="25" t="s">
        <v>1247</v>
      </c>
      <c r="C19" s="25" t="s">
        <v>1248</v>
      </c>
      <c r="D19" s="25" t="s">
        <v>1249</v>
      </c>
      <c r="E19" s="25" t="s">
        <v>1250</v>
      </c>
      <c r="F19" s="25" t="s">
        <v>1251</v>
      </c>
      <c r="G19" s="25" t="s">
        <v>1252</v>
      </c>
    </row>
    <row r="20" customFormat="false" ht="45.75" hidden="false" customHeight="true" outlineLevel="0" collapsed="false">
      <c r="A20" s="66" t="s">
        <v>1253</v>
      </c>
      <c r="B20" s="26" t="s">
        <v>1254</v>
      </c>
      <c r="C20" s="26" t="s">
        <v>1255</v>
      </c>
      <c r="D20" s="26" t="s">
        <v>1256</v>
      </c>
      <c r="E20" s="26" t="s">
        <v>1257</v>
      </c>
      <c r="F20" s="26" t="s">
        <v>1258</v>
      </c>
      <c r="G20" s="26" t="s">
        <v>1259</v>
      </c>
    </row>
    <row r="21" customFormat="false" ht="45.75" hidden="false" customHeight="true" outlineLevel="0" collapsed="false">
      <c r="A21" s="66" t="s">
        <v>1260</v>
      </c>
      <c r="B21" s="25" t="s">
        <v>1261</v>
      </c>
      <c r="C21" s="25" t="s">
        <v>1262</v>
      </c>
      <c r="D21" s="25" t="s">
        <v>1263</v>
      </c>
      <c r="E21" s="25" t="s">
        <v>1264</v>
      </c>
      <c r="F21" s="25" t="s">
        <v>1265</v>
      </c>
      <c r="G21" s="25" t="s">
        <v>1266</v>
      </c>
    </row>
    <row r="22" customFormat="false" ht="45.75" hidden="false" customHeight="true" outlineLevel="0" collapsed="false">
      <c r="A22" s="66" t="s">
        <v>1267</v>
      </c>
      <c r="B22" s="26" t="s">
        <v>1268</v>
      </c>
      <c r="C22" s="26" t="s">
        <v>1269</v>
      </c>
      <c r="D22" s="26" t="s">
        <v>1270</v>
      </c>
      <c r="E22" s="26" t="s">
        <v>1271</v>
      </c>
      <c r="F22" s="26" t="s">
        <v>1272</v>
      </c>
      <c r="G22" s="26" t="s">
        <v>1273</v>
      </c>
    </row>
    <row r="23" customFormat="false" ht="45.75" hidden="false" customHeight="true" outlineLevel="0" collapsed="false">
      <c r="A23" s="66" t="s">
        <v>1274</v>
      </c>
      <c r="B23" s="25" t="s">
        <v>1275</v>
      </c>
      <c r="C23" s="25" t="s">
        <v>1276</v>
      </c>
      <c r="D23" s="25" t="s">
        <v>1270</v>
      </c>
      <c r="E23" s="25" t="s">
        <v>1277</v>
      </c>
      <c r="F23" s="25" t="s">
        <v>1278</v>
      </c>
      <c r="G23" s="25" t="s">
        <v>1279</v>
      </c>
    </row>
    <row r="25" customFormat="false" ht="15" hidden="false" customHeight="true" outlineLevel="0" collapsed="false">
      <c r="A25" s="67" t="s">
        <v>1280</v>
      </c>
      <c r="B25" s="67"/>
      <c r="C25" s="67"/>
      <c r="D25" s="67"/>
      <c r="E25" s="67"/>
      <c r="F25" s="67"/>
      <c r="G25" s="67"/>
    </row>
    <row r="26" customFormat="false" ht="30" hidden="false" customHeight="true" outlineLevel="0" collapsed="false">
      <c r="A26" s="81" t="s">
        <v>1281</v>
      </c>
      <c r="B26" s="81"/>
      <c r="C26" s="81"/>
    </row>
    <row r="27" customFormat="false" ht="30" hidden="false" customHeight="true" outlineLevel="0" collapsed="false">
      <c r="A27" s="81" t="s">
        <v>1282</v>
      </c>
      <c r="B27" s="81" t="s">
        <v>127</v>
      </c>
      <c r="C27" s="81" t="s">
        <v>1283</v>
      </c>
    </row>
    <row r="28" customFormat="false" ht="30" hidden="false" customHeight="true" outlineLevel="0" collapsed="false">
      <c r="A28" s="26" t="s">
        <v>1284</v>
      </c>
      <c r="B28" s="26" t="s">
        <v>1285</v>
      </c>
      <c r="C28" s="26" t="s">
        <v>1286</v>
      </c>
    </row>
    <row r="29" customFormat="false" ht="30" hidden="false" customHeight="true" outlineLevel="0" collapsed="false">
      <c r="A29" s="25" t="s">
        <v>1287</v>
      </c>
      <c r="B29" s="25" t="s">
        <v>1285</v>
      </c>
      <c r="C29" s="25" t="s">
        <v>1288</v>
      </c>
    </row>
    <row r="30" customFormat="false" ht="30" hidden="false" customHeight="true" outlineLevel="0" collapsed="false">
      <c r="A30" s="26" t="s">
        <v>1289</v>
      </c>
      <c r="B30" s="26" t="s">
        <v>1285</v>
      </c>
      <c r="C30" s="26" t="s">
        <v>1290</v>
      </c>
    </row>
    <row r="31" customFormat="false" ht="30" hidden="false" customHeight="true" outlineLevel="0" collapsed="false">
      <c r="A31" s="81" t="s">
        <v>1291</v>
      </c>
      <c r="B31" s="81" t="s">
        <v>1292</v>
      </c>
      <c r="C31" s="81" t="s">
        <v>1293</v>
      </c>
    </row>
    <row r="32" customFormat="false" ht="30" hidden="false" customHeight="true" outlineLevel="0" collapsed="false">
      <c r="A32" s="26"/>
      <c r="B32" s="26"/>
      <c r="C32" s="26"/>
    </row>
    <row r="33" customFormat="false" ht="30" hidden="false" customHeight="true" outlineLevel="0" collapsed="false">
      <c r="A33" s="81" t="s">
        <v>1294</v>
      </c>
      <c r="B33" s="81"/>
      <c r="C33" s="81"/>
    </row>
    <row r="34" customFormat="false" ht="30" hidden="false" customHeight="true" outlineLevel="0" collapsed="false">
      <c r="A34" s="82" t="s">
        <v>1295</v>
      </c>
      <c r="B34" s="82" t="s">
        <v>126</v>
      </c>
      <c r="C34" s="82" t="s">
        <v>127</v>
      </c>
    </row>
    <row r="35" customFormat="false" ht="30" hidden="false" customHeight="true" outlineLevel="0" collapsed="false">
      <c r="A35" s="25" t="s">
        <v>1296</v>
      </c>
      <c r="B35" s="25" t="s">
        <v>1297</v>
      </c>
      <c r="C35" s="25" t="s">
        <v>1298</v>
      </c>
    </row>
    <row r="36" customFormat="false" ht="30" hidden="false" customHeight="true" outlineLevel="0" collapsed="false">
      <c r="A36" s="26" t="s">
        <v>1299</v>
      </c>
      <c r="B36" s="26" t="s">
        <v>173</v>
      </c>
      <c r="C36" s="26" t="s">
        <v>1300</v>
      </c>
    </row>
    <row r="37" customFormat="false" ht="30" hidden="false" customHeight="true" outlineLevel="0" collapsed="false">
      <c r="A37" s="25" t="s">
        <v>1301</v>
      </c>
      <c r="B37" s="25" t="s">
        <v>175</v>
      </c>
      <c r="C37" s="25" t="s">
        <v>1302</v>
      </c>
    </row>
    <row r="38" customFormat="false" ht="30" hidden="false" customHeight="true" outlineLevel="0" collapsed="false">
      <c r="A38" s="26" t="s">
        <v>1303</v>
      </c>
      <c r="B38" s="26" t="s">
        <v>1304</v>
      </c>
      <c r="C38" s="26" t="s">
        <v>1305</v>
      </c>
    </row>
    <row r="39" customFormat="false" ht="30" hidden="false" customHeight="true" outlineLevel="0" collapsed="false">
      <c r="A39" s="25" t="s">
        <v>1306</v>
      </c>
      <c r="B39" s="25" t="s">
        <v>1307</v>
      </c>
      <c r="C39" s="25" t="s">
        <v>1308</v>
      </c>
    </row>
    <row r="40" customFormat="false" ht="30" hidden="false" customHeight="true" outlineLevel="0" collapsed="false">
      <c r="A40" s="26" t="s">
        <v>1309</v>
      </c>
      <c r="B40" s="26" t="s">
        <v>169</v>
      </c>
      <c r="C40" s="26" t="s">
        <v>1310</v>
      </c>
    </row>
  </sheetData>
  <mergeCells count="25">
    <mergeCell ref="A1:G1"/>
    <mergeCell ref="A2:G2"/>
    <mergeCell ref="B3:C3"/>
    <mergeCell ref="D3:G3"/>
    <mergeCell ref="B4:C4"/>
    <mergeCell ref="D4:G4"/>
    <mergeCell ref="B5:C5"/>
    <mergeCell ref="D5:G5"/>
    <mergeCell ref="B6:C6"/>
    <mergeCell ref="D6:G6"/>
    <mergeCell ref="B7:C7"/>
    <mergeCell ref="D7:G7"/>
    <mergeCell ref="A9:G9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A16:G16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8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18"/>
  </cols>
  <sheetData>
    <row r="1" customFormat="false" ht="27.75" hidden="false" customHeight="true" outlineLevel="0" collapsed="false">
      <c r="A1" s="59" t="s">
        <v>1311</v>
      </c>
      <c r="B1" s="59"/>
      <c r="C1" s="59"/>
      <c r="D1" s="59"/>
      <c r="E1" s="59"/>
    </row>
    <row r="2" customFormat="false" ht="15" hidden="false" customHeight="true" outlineLevel="0" collapsed="false">
      <c r="A2" s="79" t="s">
        <v>1312</v>
      </c>
      <c r="B2" s="79"/>
      <c r="C2" s="79"/>
      <c r="D2" s="79"/>
      <c r="E2" s="79"/>
    </row>
    <row r="3" customFormat="false" ht="24" hidden="false" customHeight="true" outlineLevel="0" collapsed="false">
      <c r="A3" s="17" t="s">
        <v>3</v>
      </c>
      <c r="B3" s="17" t="s">
        <v>1313</v>
      </c>
      <c r="C3" s="17" t="s">
        <v>8</v>
      </c>
      <c r="D3" s="17" t="s">
        <v>1314</v>
      </c>
      <c r="E3" s="17" t="s">
        <v>1315</v>
      </c>
    </row>
    <row r="4" customFormat="false" ht="15" hidden="false" customHeight="true" outlineLevel="0" collapsed="false">
      <c r="A4" s="23" t="s">
        <v>1316</v>
      </c>
      <c r="B4" s="23"/>
      <c r="C4" s="23"/>
      <c r="D4" s="23"/>
      <c r="E4" s="23"/>
    </row>
    <row r="5" customFormat="false" ht="21.75" hidden="false" customHeight="true" outlineLevel="0" collapsed="false">
      <c r="A5" s="83" t="n">
        <v>1</v>
      </c>
      <c r="B5" s="8" t="s">
        <v>1317</v>
      </c>
      <c r="C5" s="19"/>
      <c r="D5" s="19"/>
      <c r="E5" s="19"/>
    </row>
    <row r="6" customFormat="false" ht="21.75" hidden="false" customHeight="true" outlineLevel="0" collapsed="false">
      <c r="A6" s="83" t="n">
        <v>2</v>
      </c>
      <c r="B6" s="8" t="s">
        <v>1318</v>
      </c>
      <c r="C6" s="19"/>
      <c r="D6" s="19"/>
      <c r="E6" s="19"/>
    </row>
    <row r="7" customFormat="false" ht="21.75" hidden="false" customHeight="true" outlineLevel="0" collapsed="false">
      <c r="A7" s="83" t="n">
        <v>3</v>
      </c>
      <c r="B7" s="8" t="s">
        <v>1319</v>
      </c>
      <c r="C7" s="19"/>
      <c r="D7" s="19"/>
      <c r="E7" s="19"/>
    </row>
    <row r="8" customFormat="false" ht="21.75" hidden="false" customHeight="true" outlineLevel="0" collapsed="false">
      <c r="A8" s="83" t="n">
        <v>4</v>
      </c>
      <c r="B8" s="8" t="s">
        <v>1320</v>
      </c>
      <c r="C8" s="19"/>
      <c r="D8" s="19"/>
      <c r="E8" s="19"/>
    </row>
    <row r="9" customFormat="false" ht="15" hidden="false" customHeight="true" outlineLevel="0" collapsed="false">
      <c r="A9" s="23" t="s">
        <v>1321</v>
      </c>
      <c r="B9" s="23"/>
      <c r="C9" s="23"/>
      <c r="D9" s="23"/>
      <c r="E9" s="23"/>
    </row>
    <row r="10" customFormat="false" ht="21.75" hidden="false" customHeight="true" outlineLevel="0" collapsed="false">
      <c r="A10" s="83" t="n">
        <v>5</v>
      </c>
      <c r="B10" s="8" t="s">
        <v>1322</v>
      </c>
      <c r="C10" s="19"/>
      <c r="D10" s="19"/>
      <c r="E10" s="19"/>
    </row>
    <row r="11" customFormat="false" ht="21.75" hidden="false" customHeight="true" outlineLevel="0" collapsed="false">
      <c r="A11" s="83" t="n">
        <v>6</v>
      </c>
      <c r="B11" s="8" t="s">
        <v>1323</v>
      </c>
      <c r="C11" s="19"/>
      <c r="D11" s="19"/>
      <c r="E11" s="19"/>
    </row>
    <row r="12" customFormat="false" ht="21.75" hidden="false" customHeight="true" outlineLevel="0" collapsed="false">
      <c r="A12" s="83" t="n">
        <v>7</v>
      </c>
      <c r="B12" s="8" t="s">
        <v>1324</v>
      </c>
      <c r="C12" s="19"/>
      <c r="D12" s="19"/>
      <c r="E12" s="19"/>
    </row>
    <row r="13" customFormat="false" ht="21.75" hidden="false" customHeight="true" outlineLevel="0" collapsed="false">
      <c r="A13" s="83" t="n">
        <v>8</v>
      </c>
      <c r="B13" s="8" t="s">
        <v>1325</v>
      </c>
      <c r="C13" s="19"/>
      <c r="D13" s="19"/>
      <c r="E13" s="19"/>
    </row>
    <row r="14" customFormat="false" ht="21.75" hidden="false" customHeight="true" outlineLevel="0" collapsed="false">
      <c r="A14" s="83" t="n">
        <v>9</v>
      </c>
      <c r="B14" s="8" t="s">
        <v>1326</v>
      </c>
      <c r="C14" s="19"/>
      <c r="D14" s="19"/>
      <c r="E14" s="19"/>
    </row>
    <row r="15" customFormat="false" ht="21.75" hidden="false" customHeight="true" outlineLevel="0" collapsed="false">
      <c r="A15" s="83" t="n">
        <v>10</v>
      </c>
      <c r="B15" s="8" t="s">
        <v>1327</v>
      </c>
      <c r="C15" s="19"/>
      <c r="D15" s="19"/>
      <c r="E15" s="19"/>
    </row>
    <row r="16" customFormat="false" ht="15" hidden="false" customHeight="true" outlineLevel="0" collapsed="false">
      <c r="A16" s="23" t="s">
        <v>1328</v>
      </c>
      <c r="B16" s="23"/>
      <c r="C16" s="23"/>
      <c r="D16" s="23"/>
      <c r="E16" s="23"/>
    </row>
    <row r="17" customFormat="false" ht="21.75" hidden="false" customHeight="true" outlineLevel="0" collapsed="false">
      <c r="A17" s="83" t="n">
        <v>11</v>
      </c>
      <c r="B17" s="8" t="s">
        <v>1329</v>
      </c>
      <c r="C17" s="19"/>
      <c r="D17" s="19"/>
      <c r="E17" s="19"/>
    </row>
    <row r="18" customFormat="false" ht="21.75" hidden="false" customHeight="true" outlineLevel="0" collapsed="false">
      <c r="A18" s="83" t="n">
        <v>12</v>
      </c>
      <c r="B18" s="8" t="s">
        <v>1330</v>
      </c>
      <c r="C18" s="19"/>
      <c r="D18" s="19"/>
      <c r="E18" s="19"/>
    </row>
    <row r="19" customFormat="false" ht="21.75" hidden="false" customHeight="true" outlineLevel="0" collapsed="false">
      <c r="A19" s="83" t="n">
        <v>13</v>
      </c>
      <c r="B19" s="8" t="s">
        <v>1331</v>
      </c>
      <c r="C19" s="19"/>
      <c r="D19" s="19"/>
      <c r="E19" s="19"/>
    </row>
    <row r="20" customFormat="false" ht="21.75" hidden="false" customHeight="true" outlineLevel="0" collapsed="false">
      <c r="A20" s="83" t="n">
        <v>14</v>
      </c>
      <c r="B20" s="8" t="s">
        <v>1332</v>
      </c>
      <c r="C20" s="19"/>
      <c r="D20" s="19"/>
      <c r="E20" s="19"/>
    </row>
    <row r="21" customFormat="false" ht="21.75" hidden="false" customHeight="true" outlineLevel="0" collapsed="false">
      <c r="A21" s="83" t="n">
        <v>15</v>
      </c>
      <c r="B21" s="8" t="s">
        <v>1333</v>
      </c>
      <c r="C21" s="19"/>
      <c r="D21" s="19"/>
      <c r="E21" s="19"/>
    </row>
    <row r="22" customFormat="false" ht="21.75" hidden="false" customHeight="true" outlineLevel="0" collapsed="false">
      <c r="A22" s="83" t="n">
        <v>16</v>
      </c>
      <c r="B22" s="8" t="s">
        <v>1334</v>
      </c>
      <c r="C22" s="19"/>
      <c r="D22" s="19"/>
      <c r="E22" s="19"/>
    </row>
    <row r="23" customFormat="false" ht="15" hidden="false" customHeight="true" outlineLevel="0" collapsed="false">
      <c r="A23" s="23" t="s">
        <v>1335</v>
      </c>
      <c r="B23" s="23"/>
      <c r="C23" s="23"/>
      <c r="D23" s="23"/>
      <c r="E23" s="23"/>
    </row>
    <row r="24" customFormat="false" ht="21.75" hidden="false" customHeight="true" outlineLevel="0" collapsed="false">
      <c r="A24" s="83" t="n">
        <v>17</v>
      </c>
      <c r="B24" s="8" t="s">
        <v>1336</v>
      </c>
      <c r="C24" s="19"/>
      <c r="D24" s="19"/>
      <c r="E24" s="19"/>
    </row>
    <row r="25" customFormat="false" ht="21.75" hidden="false" customHeight="true" outlineLevel="0" collapsed="false">
      <c r="A25" s="83" t="n">
        <v>18</v>
      </c>
      <c r="B25" s="8" t="s">
        <v>1337</v>
      </c>
      <c r="C25" s="19"/>
      <c r="D25" s="19"/>
      <c r="E25" s="19"/>
    </row>
    <row r="26" customFormat="false" ht="21.75" hidden="false" customHeight="true" outlineLevel="0" collapsed="false">
      <c r="A26" s="83" t="n">
        <v>19</v>
      </c>
      <c r="B26" s="8" t="s">
        <v>1338</v>
      </c>
      <c r="C26" s="19"/>
      <c r="D26" s="19"/>
      <c r="E26" s="19"/>
    </row>
    <row r="27" customFormat="false" ht="21.75" hidden="false" customHeight="true" outlineLevel="0" collapsed="false">
      <c r="A27" s="83" t="n">
        <v>20</v>
      </c>
      <c r="B27" s="8" t="s">
        <v>1339</v>
      </c>
      <c r="C27" s="19"/>
      <c r="D27" s="19"/>
      <c r="E27" s="19"/>
    </row>
    <row r="28" customFormat="false" ht="15" hidden="false" customHeight="true" outlineLevel="0" collapsed="false">
      <c r="A28" s="23" t="s">
        <v>1340</v>
      </c>
      <c r="B28" s="23"/>
      <c r="C28" s="23"/>
      <c r="D28" s="23"/>
      <c r="E28" s="23"/>
    </row>
    <row r="29" customFormat="false" ht="21.75" hidden="false" customHeight="true" outlineLevel="0" collapsed="false">
      <c r="A29" s="83" t="n">
        <v>21</v>
      </c>
      <c r="B29" s="8" t="s">
        <v>1341</v>
      </c>
      <c r="C29" s="19"/>
      <c r="D29" s="19"/>
      <c r="E29" s="19"/>
    </row>
    <row r="30" customFormat="false" ht="21.75" hidden="false" customHeight="true" outlineLevel="0" collapsed="false">
      <c r="A30" s="83" t="n">
        <v>22</v>
      </c>
      <c r="B30" s="8" t="s">
        <v>1342</v>
      </c>
      <c r="C30" s="19"/>
      <c r="D30" s="19"/>
      <c r="E30" s="19"/>
    </row>
    <row r="31" customFormat="false" ht="21.75" hidden="false" customHeight="true" outlineLevel="0" collapsed="false">
      <c r="A31" s="83" t="n">
        <v>23</v>
      </c>
      <c r="B31" s="8" t="s">
        <v>1343</v>
      </c>
      <c r="C31" s="19"/>
      <c r="D31" s="19"/>
      <c r="E31" s="19"/>
    </row>
    <row r="32" customFormat="false" ht="21.75" hidden="false" customHeight="true" outlineLevel="0" collapsed="false">
      <c r="A32" s="83" t="n">
        <v>24</v>
      </c>
      <c r="B32" s="8" t="s">
        <v>1344</v>
      </c>
      <c r="C32" s="19"/>
      <c r="D32" s="19"/>
      <c r="E32" s="19"/>
    </row>
    <row r="33" customFormat="false" ht="15" hidden="false" customHeight="true" outlineLevel="0" collapsed="false">
      <c r="A33" s="23" t="s">
        <v>1345</v>
      </c>
      <c r="B33" s="23"/>
      <c r="C33" s="23"/>
      <c r="D33" s="23"/>
      <c r="E33" s="23"/>
    </row>
    <row r="34" customFormat="false" ht="21.75" hidden="false" customHeight="true" outlineLevel="0" collapsed="false">
      <c r="A34" s="83" t="n">
        <v>25</v>
      </c>
      <c r="B34" s="8" t="s">
        <v>1346</v>
      </c>
      <c r="C34" s="19"/>
      <c r="D34" s="19"/>
      <c r="E34" s="19"/>
    </row>
    <row r="35" customFormat="false" ht="21.75" hidden="false" customHeight="true" outlineLevel="0" collapsed="false">
      <c r="A35" s="83" t="n">
        <v>26</v>
      </c>
      <c r="B35" s="8" t="s">
        <v>1347</v>
      </c>
      <c r="C35" s="19"/>
      <c r="D35" s="19"/>
      <c r="E35" s="19"/>
    </row>
    <row r="36" customFormat="false" ht="21.75" hidden="false" customHeight="true" outlineLevel="0" collapsed="false">
      <c r="A36" s="83" t="n">
        <v>27</v>
      </c>
      <c r="B36" s="8" t="s">
        <v>1348</v>
      </c>
      <c r="C36" s="19"/>
      <c r="D36" s="19"/>
      <c r="E36" s="19"/>
    </row>
    <row r="37" customFormat="false" ht="21.75" hidden="false" customHeight="true" outlineLevel="0" collapsed="false">
      <c r="A37" s="83" t="n">
        <v>28</v>
      </c>
      <c r="B37" s="8" t="s">
        <v>1349</v>
      </c>
      <c r="C37" s="19"/>
      <c r="D37" s="19"/>
      <c r="E37" s="19"/>
    </row>
    <row r="38" customFormat="false" ht="21.75" hidden="false" customHeight="true" outlineLevel="0" collapsed="false">
      <c r="A38" s="83" t="n">
        <v>29</v>
      </c>
      <c r="B38" s="8" t="s">
        <v>1350</v>
      </c>
      <c r="C38" s="19"/>
      <c r="D38" s="19"/>
      <c r="E38" s="19"/>
    </row>
    <row r="39" customFormat="false" ht="21.75" hidden="false" customHeight="true" outlineLevel="0" collapsed="false">
      <c r="A39" s="83" t="n">
        <v>30</v>
      </c>
      <c r="B39" s="8" t="s">
        <v>1351</v>
      </c>
      <c r="C39" s="19"/>
      <c r="D39" s="19"/>
      <c r="E39" s="19"/>
    </row>
    <row r="41" customFormat="false" ht="15" hidden="false" customHeight="true" outlineLevel="0" collapsed="false">
      <c r="A41" s="84" t="s">
        <v>1352</v>
      </c>
      <c r="B41" s="84"/>
      <c r="C41" s="85" t="str">
        <f aca="false">COUNTIF(C4:C39,"Sim ✅")&amp;"/30 itens concluídos ("&amp;ROUND(COUNTIF(C4:C39,"Sim ✅")/30*100,0)&amp;"%)"</f>
        <v>0/30 itens concluídos (0%)</v>
      </c>
      <c r="D41" s="85"/>
      <c r="E41" s="85"/>
    </row>
  </sheetData>
  <mergeCells count="10">
    <mergeCell ref="A1:E1"/>
    <mergeCell ref="A2:E2"/>
    <mergeCell ref="A4:E4"/>
    <mergeCell ref="A9:E9"/>
    <mergeCell ref="A16:E16"/>
    <mergeCell ref="A23:E23"/>
    <mergeCell ref="A28:E28"/>
    <mergeCell ref="A33:E33"/>
    <mergeCell ref="A41:B41"/>
    <mergeCell ref="C41:E41"/>
  </mergeCells>
  <dataValidations count="1">
    <dataValidation allowBlank="true" errorStyle="stop" operator="between" prompt="Status do item" showDropDown="false" showErrorMessage="false" showInputMessage="false" sqref="C4:C40" type="list">
      <formula1>"Sim ✅,Não ❌,N/A,Pendente ⚠️"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C8C"/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48"/>
    <col collapsed="false" customWidth="true" hidden="false" outlineLevel="0" max="5" min="5" style="1" width="28"/>
  </cols>
  <sheetData>
    <row r="1" customFormat="false" ht="27.75" hidden="false" customHeight="true" outlineLevel="0" collapsed="false">
      <c r="A1" s="21" t="s">
        <v>1353</v>
      </c>
      <c r="B1" s="21"/>
      <c r="C1" s="21"/>
      <c r="D1" s="21"/>
      <c r="E1" s="21"/>
      <c r="F1" s="21"/>
    </row>
    <row r="3" customFormat="false" ht="15" hidden="false" customHeight="true" outlineLevel="0" collapsed="false">
      <c r="A3" s="86" t="s">
        <v>1354</v>
      </c>
      <c r="B3" s="86"/>
      <c r="C3" s="86"/>
      <c r="D3" s="86"/>
      <c r="E3" s="86"/>
      <c r="F3" s="86"/>
    </row>
    <row r="4" customFormat="false" ht="15" hidden="false" customHeight="true" outlineLevel="0" collapsed="false">
      <c r="A4" s="17" t="s">
        <v>1355</v>
      </c>
      <c r="B4" s="17" t="s">
        <v>1356</v>
      </c>
      <c r="C4" s="17" t="s">
        <v>1357</v>
      </c>
      <c r="D4" s="17" t="s">
        <v>1358</v>
      </c>
      <c r="E4" s="17" t="s">
        <v>1359</v>
      </c>
    </row>
    <row r="5" customFormat="false" ht="24" hidden="false" customHeight="true" outlineLevel="0" collapsed="false">
      <c r="A5" s="87" t="s">
        <v>1360</v>
      </c>
      <c r="B5" s="19"/>
      <c r="C5" s="19"/>
      <c r="E5" s="88"/>
    </row>
    <row r="6" customFormat="false" ht="24" hidden="false" customHeight="true" outlineLevel="0" collapsed="false">
      <c r="A6" s="87" t="s">
        <v>1361</v>
      </c>
      <c r="B6" s="19"/>
      <c r="C6" s="19"/>
      <c r="E6" s="88"/>
    </row>
    <row r="7" customFormat="false" ht="24" hidden="false" customHeight="true" outlineLevel="0" collapsed="false">
      <c r="A7" s="87" t="s">
        <v>1362</v>
      </c>
      <c r="B7" s="89" t="str">
        <f aca="false">IF(OR(B3="",B4=""),"",B3/B4^2)</f>
        <v/>
      </c>
      <c r="C7" s="19"/>
      <c r="D7" s="90" t="str">
        <f aca="false">IF(B5&lt;18.5,"Baixo peso",IF(B5&lt;25,"Normal",IF(B5&lt;30,"Sobrepeso","Obesidade")))</f>
        <v>Baixo peso</v>
      </c>
      <c r="E7" s="88" t="s">
        <v>1363</v>
      </c>
    </row>
    <row r="8" customFormat="false" ht="24" hidden="false" customHeight="true" outlineLevel="0" collapsed="false">
      <c r="A8" s="87" t="s">
        <v>1364</v>
      </c>
      <c r="B8" s="89" t="str">
        <f aca="false">IFERROR(50+0.91*(B4*100-152.4),"")</f>
        <v/>
      </c>
      <c r="C8" s="19"/>
      <c r="E8" s="88" t="s">
        <v>1365</v>
      </c>
    </row>
    <row r="9" customFormat="false" ht="24" hidden="false" customHeight="true" outlineLevel="0" collapsed="false">
      <c r="A9" s="87" t="s">
        <v>1366</v>
      </c>
      <c r="B9" s="89" t="str">
        <f aca="false">IFERROR(45.5+0.91*(B4*100-152.4),"")</f>
        <v/>
      </c>
      <c r="C9" s="19"/>
      <c r="E9" s="88" t="s">
        <v>1365</v>
      </c>
    </row>
    <row r="11" customFormat="false" ht="15" hidden="false" customHeight="true" outlineLevel="0" collapsed="false">
      <c r="A11" s="86" t="s">
        <v>1367</v>
      </c>
      <c r="B11" s="86"/>
      <c r="C11" s="86"/>
      <c r="D11" s="86"/>
      <c r="E11" s="86"/>
      <c r="F11" s="86"/>
    </row>
    <row r="12" customFormat="false" ht="15" hidden="false" customHeight="true" outlineLevel="0" collapsed="false">
      <c r="A12" s="17" t="s">
        <v>1355</v>
      </c>
      <c r="B12" s="17" t="s">
        <v>1356</v>
      </c>
      <c r="C12" s="17" t="s">
        <v>1357</v>
      </c>
      <c r="D12" s="17" t="s">
        <v>1358</v>
      </c>
      <c r="E12" s="17" t="s">
        <v>1359</v>
      </c>
    </row>
    <row r="13" customFormat="false" ht="24" hidden="false" customHeight="true" outlineLevel="0" collapsed="false">
      <c r="A13" s="87" t="s">
        <v>129</v>
      </c>
      <c r="B13" s="19"/>
      <c r="C13" s="19"/>
      <c r="E13" s="88"/>
    </row>
    <row r="14" customFormat="false" ht="24" hidden="false" customHeight="true" outlineLevel="0" collapsed="false">
      <c r="A14" s="87" t="s">
        <v>1368</v>
      </c>
      <c r="B14" s="19"/>
      <c r="C14" s="19"/>
      <c r="E14" s="88"/>
    </row>
    <row r="15" customFormat="false" ht="24" hidden="false" customHeight="true" outlineLevel="0" collapsed="false">
      <c r="A15" s="87" t="s">
        <v>1369</v>
      </c>
      <c r="B15" s="19"/>
      <c r="C15" s="19"/>
      <c r="E15" s="88"/>
    </row>
    <row r="16" customFormat="false" ht="24" hidden="false" customHeight="true" outlineLevel="0" collapsed="false">
      <c r="A16" s="87" t="s">
        <v>1370</v>
      </c>
      <c r="B16" s="19"/>
      <c r="C16" s="19"/>
      <c r="D16" s="90" t="s">
        <v>1371</v>
      </c>
      <c r="E16" s="88" t="s">
        <v>1372</v>
      </c>
    </row>
    <row r="17" customFormat="false" ht="24" hidden="false" customHeight="true" outlineLevel="0" collapsed="false">
      <c r="A17" s="87" t="s">
        <v>1373</v>
      </c>
      <c r="B17" s="89" t="str">
        <f aca="false">IF(OR(B13="",B14="",B15="",B16=""),"",IF(B15=0,"",((140-B13)*B14)/(B15*72)*B16))</f>
        <v/>
      </c>
      <c r="C17" s="19"/>
      <c r="D17" s="90" t="str">
        <f aca="false">IF(B17="","",IF(B17&lt;15,"Falência renal",IF(B17&lt;30,"IRC grave",IF(B17&lt;60,"IRC moderada",IF(B17&lt;90,"IRC leve","Normal")))))</f>
        <v/>
      </c>
      <c r="E17" s="88" t="s">
        <v>1374</v>
      </c>
    </row>
    <row r="19" customFormat="false" ht="15" hidden="false" customHeight="true" outlineLevel="0" collapsed="false">
      <c r="A19" s="86" t="s">
        <v>1375</v>
      </c>
      <c r="B19" s="86"/>
      <c r="C19" s="86"/>
      <c r="D19" s="86"/>
      <c r="E19" s="86"/>
      <c r="F19" s="86"/>
    </row>
    <row r="20" customFormat="false" ht="15" hidden="false" customHeight="true" outlineLevel="0" collapsed="false">
      <c r="A20" s="17" t="s">
        <v>1355</v>
      </c>
      <c r="B20" s="17" t="s">
        <v>1356</v>
      </c>
      <c r="C20" s="17" t="s">
        <v>1357</v>
      </c>
      <c r="D20" s="17" t="s">
        <v>1358</v>
      </c>
      <c r="E20" s="17" t="s">
        <v>1359</v>
      </c>
    </row>
    <row r="21" customFormat="false" ht="24" hidden="false" customHeight="true" outlineLevel="0" collapsed="false">
      <c r="A21" s="87" t="s">
        <v>1376</v>
      </c>
      <c r="B21" s="19"/>
      <c r="C21" s="19"/>
      <c r="E21" s="88"/>
    </row>
    <row r="22" customFormat="false" ht="24" hidden="false" customHeight="true" outlineLevel="0" collapsed="false">
      <c r="A22" s="87" t="s">
        <v>1377</v>
      </c>
      <c r="B22" s="19"/>
      <c r="C22" s="19"/>
      <c r="E22" s="88"/>
    </row>
    <row r="23" customFormat="false" ht="24" hidden="false" customHeight="true" outlineLevel="0" collapsed="false">
      <c r="A23" s="87" t="s">
        <v>1378</v>
      </c>
      <c r="B23" s="19"/>
      <c r="C23" s="19"/>
      <c r="E23" s="88"/>
    </row>
    <row r="24" customFormat="false" ht="24" hidden="false" customHeight="true" outlineLevel="0" collapsed="false">
      <c r="A24" s="87" t="s">
        <v>1379</v>
      </c>
      <c r="B24" s="19"/>
      <c r="C24" s="19"/>
      <c r="E24" s="88"/>
    </row>
    <row r="25" customFormat="false" ht="24" hidden="false" customHeight="true" outlineLevel="0" collapsed="false">
      <c r="A25" s="87" t="s">
        <v>1380</v>
      </c>
      <c r="B25" s="89" t="n">
        <f aca="false">B22-B23-B24</f>
        <v>0</v>
      </c>
      <c r="C25" s="19"/>
      <c r="D25" s="91" t="str">
        <f aca="false">IF(B25="","",IF(B25&lt;18.5,"Baixo peso",IF(B25&lt;25,"Normal",IF(B25&lt;30,"Sobrepeso","Obesidade"))))</f>
        <v>Baixo peso</v>
      </c>
      <c r="E25" s="88" t="s">
        <v>1381</v>
      </c>
    </row>
    <row r="26" customFormat="false" ht="24" hidden="false" customHeight="true" outlineLevel="0" collapsed="false">
      <c r="A26" s="87" t="s">
        <v>1382</v>
      </c>
      <c r="B26" s="89" t="str">
        <f aca="false">IF(OR(B21="",B22="",B23=""),"",B21-B22-B23)</f>
        <v/>
      </c>
      <c r="C26" s="19"/>
      <c r="D26" s="91" t="str">
        <f aca="false">IF(B26="","",IF(B26&gt;12,"AG ELEVADO — MUDPILES","AG NORMAL"))</f>
        <v/>
      </c>
      <c r="E26" s="88" t="s">
        <v>1383</v>
      </c>
    </row>
    <row r="27" customFormat="false" ht="24" hidden="false" customHeight="true" outlineLevel="0" collapsed="false">
      <c r="A27" s="87" t="s">
        <v>1191</v>
      </c>
      <c r="B27" s="89" t="str">
        <f aca="false">IF(OR(B26="",B25=""),"",B26+2.5*(4-B25))</f>
        <v/>
      </c>
      <c r="C27" s="19"/>
      <c r="D27" s="90" t="str">
        <f aca="false">IF(B28&lt;1,"Mista: AG + acidose normal",IF(B28&gt;2,"Alcalose metabólica oculta","AG puro"))</f>
        <v>Mista: AG + acidose normal</v>
      </c>
      <c r="E27" s="88" t="s">
        <v>1384</v>
      </c>
    </row>
    <row r="29" customFormat="false" ht="15" hidden="false" customHeight="true" outlineLevel="0" collapsed="false">
      <c r="A29" s="86" t="s">
        <v>1385</v>
      </c>
      <c r="B29" s="86"/>
      <c r="C29" s="86"/>
      <c r="D29" s="86"/>
      <c r="E29" s="86"/>
      <c r="F29" s="86"/>
    </row>
    <row r="30" customFormat="false" ht="15" hidden="false" customHeight="true" outlineLevel="0" collapsed="false">
      <c r="A30" s="17" t="s">
        <v>1355</v>
      </c>
      <c r="B30" s="17" t="s">
        <v>1356</v>
      </c>
      <c r="C30" s="17" t="s">
        <v>1357</v>
      </c>
      <c r="D30" s="17" t="s">
        <v>1358</v>
      </c>
      <c r="E30" s="17" t="s">
        <v>1359</v>
      </c>
    </row>
    <row r="31" customFormat="false" ht="24" hidden="false" customHeight="true" outlineLevel="0" collapsed="false">
      <c r="A31" s="87" t="s">
        <v>1386</v>
      </c>
      <c r="B31" s="19"/>
      <c r="C31" s="19"/>
      <c r="E31" s="88"/>
    </row>
    <row r="32" customFormat="false" ht="24" hidden="false" customHeight="true" outlineLevel="0" collapsed="false">
      <c r="A32" s="87" t="s">
        <v>1387</v>
      </c>
      <c r="B32" s="19"/>
      <c r="C32" s="19"/>
      <c r="E32" s="88"/>
    </row>
    <row r="33" customFormat="false" ht="24" hidden="false" customHeight="true" outlineLevel="0" collapsed="false">
      <c r="A33" s="87" t="s">
        <v>1388</v>
      </c>
      <c r="B33" s="19"/>
      <c r="C33" s="19"/>
      <c r="E33" s="88"/>
    </row>
    <row r="34" customFormat="false" ht="24" hidden="false" customHeight="true" outlineLevel="0" collapsed="false">
      <c r="A34" s="87" t="s">
        <v>1389</v>
      </c>
      <c r="B34" s="89" t="n">
        <f aca="false">B31+2.4*(B32-100)/100</f>
        <v>-2.4</v>
      </c>
      <c r="C34" s="19"/>
      <c r="E34" s="88" t="s">
        <v>1390</v>
      </c>
    </row>
    <row r="35" customFormat="false" ht="24" hidden="false" customHeight="true" outlineLevel="0" collapsed="false">
      <c r="A35" s="87" t="s">
        <v>1391</v>
      </c>
      <c r="B35" s="89" t="n">
        <f aca="false">2*B31+B32/18+B33/6</f>
        <v>0</v>
      </c>
      <c r="C35" s="19"/>
      <c r="D35" s="90" t="str">
        <f aca="false">IF(B35&lt;275,"Hipo-osmolaridade",IF(B35&gt;295,"Hiperosmolaridade","Normal (285-295)"))</f>
        <v>Hipo-osmolaridade</v>
      </c>
      <c r="E35" s="88" t="s">
        <v>1392</v>
      </c>
    </row>
    <row r="37" customFormat="false" ht="15" hidden="false" customHeight="true" outlineLevel="0" collapsed="false">
      <c r="A37" s="86" t="s">
        <v>1393</v>
      </c>
      <c r="B37" s="86"/>
      <c r="C37" s="86"/>
      <c r="D37" s="86"/>
      <c r="E37" s="86"/>
      <c r="F37" s="86"/>
    </row>
    <row r="38" customFormat="false" ht="15" hidden="false" customHeight="true" outlineLevel="0" collapsed="false">
      <c r="A38" s="17" t="s">
        <v>1355</v>
      </c>
      <c r="B38" s="17" t="s">
        <v>1356</v>
      </c>
      <c r="C38" s="17" t="s">
        <v>1357</v>
      </c>
      <c r="D38" s="17" t="s">
        <v>1358</v>
      </c>
      <c r="E38" s="17" t="s">
        <v>1359</v>
      </c>
    </row>
    <row r="39" customFormat="false" ht="24" hidden="false" customHeight="true" outlineLevel="0" collapsed="false">
      <c r="A39" s="87" t="s">
        <v>1394</v>
      </c>
      <c r="B39" s="19"/>
      <c r="C39" s="19"/>
      <c r="D39" s="90" t="n">
        <f aca="false">IF(B38&gt;=22,1,0)</f>
        <v>1</v>
      </c>
      <c r="E39" s="88" t="s">
        <v>1395</v>
      </c>
    </row>
    <row r="40" customFormat="false" ht="24" hidden="false" customHeight="true" outlineLevel="0" collapsed="false">
      <c r="A40" s="87" t="s">
        <v>1307</v>
      </c>
      <c r="B40" s="19"/>
      <c r="C40" s="19"/>
      <c r="D40" s="90" t="n">
        <f aca="false">IF(B39&lt;15,1,0)</f>
        <v>1</v>
      </c>
      <c r="E40" s="88" t="s">
        <v>1396</v>
      </c>
    </row>
    <row r="41" customFormat="false" ht="24" hidden="false" customHeight="true" outlineLevel="0" collapsed="false">
      <c r="A41" s="87" t="s">
        <v>161</v>
      </c>
      <c r="B41" s="19"/>
      <c r="C41" s="19"/>
      <c r="D41" s="90" t="n">
        <f aca="false">IF(B40&lt;=100,1,0)</f>
        <v>1</v>
      </c>
      <c r="E41" s="88" t="s">
        <v>1397</v>
      </c>
    </row>
    <row r="42" customFormat="false" ht="24" hidden="false" customHeight="true" outlineLevel="0" collapsed="false">
      <c r="A42" s="87" t="s">
        <v>1398</v>
      </c>
      <c r="B42" s="89" t="str">
        <f aca="false">IF(OR(B38="",B39="",B40=""),"",D38+D39+D40)</f>
        <v/>
      </c>
      <c r="C42" s="19"/>
      <c r="D42" s="90" t="str">
        <f aca="false">IF(B41&gt;=2,"⚠️ qSOFA ≥ 2 — AVALIAR SEPSE","qSOFA &lt; 2 — Baixo risco imediato")</f>
        <v>qSOFA &lt; 2 — Baixo risco imediato</v>
      </c>
      <c r="E42" s="88" t="s">
        <v>1399</v>
      </c>
    </row>
    <row r="43" customFormat="false" ht="24" hidden="false" customHeight="true" outlineLevel="0" collapsed="false">
      <c r="A43" s="87" t="s">
        <v>1400</v>
      </c>
      <c r="B43" s="19"/>
      <c r="C43" s="19"/>
      <c r="D43" s="91" t="str">
        <f aca="false">IF(B42="","",IF(B42&gt;=2,"⚠️ qSOFA ≥ 2 — AVALIAR SEPSE","qSOFA &lt; 2"))</f>
        <v/>
      </c>
      <c r="E43" s="88" t="s">
        <v>1401</v>
      </c>
    </row>
    <row r="45" customFormat="false" ht="15" hidden="false" customHeight="true" outlineLevel="0" collapsed="false">
      <c r="A45" s="86" t="s">
        <v>1402</v>
      </c>
      <c r="B45" s="86"/>
      <c r="C45" s="86"/>
      <c r="D45" s="86"/>
      <c r="E45" s="86"/>
      <c r="F45" s="86"/>
    </row>
    <row r="46" customFormat="false" ht="15" hidden="false" customHeight="true" outlineLevel="0" collapsed="false">
      <c r="A46" s="17" t="s">
        <v>1355</v>
      </c>
      <c r="B46" s="17" t="s">
        <v>1356</v>
      </c>
      <c r="C46" s="17" t="s">
        <v>1357</v>
      </c>
      <c r="D46" s="17" t="s">
        <v>1358</v>
      </c>
      <c r="E46" s="17" t="s">
        <v>1359</v>
      </c>
    </row>
    <row r="47" customFormat="false" ht="24" hidden="false" customHeight="true" outlineLevel="0" collapsed="false">
      <c r="A47" s="87" t="s">
        <v>1403</v>
      </c>
      <c r="B47" s="19"/>
      <c r="C47" s="19"/>
      <c r="E47" s="88"/>
    </row>
    <row r="48" customFormat="false" ht="24" hidden="false" customHeight="true" outlineLevel="0" collapsed="false">
      <c r="A48" s="87" t="s">
        <v>1404</v>
      </c>
      <c r="B48" s="19"/>
      <c r="C48" s="19"/>
      <c r="E48" s="88"/>
    </row>
    <row r="49" customFormat="false" ht="24" hidden="false" customHeight="true" outlineLevel="0" collapsed="false">
      <c r="A49" s="87" t="s">
        <v>1405</v>
      </c>
      <c r="B49" s="19"/>
      <c r="C49" s="19"/>
      <c r="E49" s="88"/>
    </row>
    <row r="50" customFormat="false" ht="24" hidden="false" customHeight="true" outlineLevel="0" collapsed="false">
      <c r="A50" s="87" t="s">
        <v>1406</v>
      </c>
      <c r="B50" s="19"/>
      <c r="C50" s="19"/>
      <c r="E50" s="88"/>
    </row>
    <row r="51" customFormat="false" ht="24" hidden="false" customHeight="true" outlineLevel="0" collapsed="false">
      <c r="A51" s="87" t="s">
        <v>1407</v>
      </c>
      <c r="B51" s="19"/>
      <c r="C51" s="19"/>
      <c r="E51" s="88"/>
    </row>
    <row r="52" customFormat="false" ht="24" hidden="false" customHeight="true" outlineLevel="0" collapsed="false">
      <c r="A52" s="87" t="s">
        <v>1408</v>
      </c>
      <c r="B52" s="19"/>
      <c r="C52" s="19"/>
      <c r="E52" s="88"/>
    </row>
    <row r="53" customFormat="false" ht="24" hidden="false" customHeight="true" outlineLevel="0" collapsed="false">
      <c r="A53" s="87" t="s">
        <v>1409</v>
      </c>
      <c r="B53" s="19"/>
      <c r="C53" s="19"/>
      <c r="E53" s="88"/>
    </row>
    <row r="54" customFormat="false" ht="24" hidden="false" customHeight="true" outlineLevel="0" collapsed="false">
      <c r="A54" s="87" t="s">
        <v>1410</v>
      </c>
      <c r="B54" s="19"/>
      <c r="C54" s="19"/>
      <c r="E54" s="88"/>
    </row>
    <row r="55" customFormat="false" ht="24" hidden="false" customHeight="true" outlineLevel="0" collapsed="false">
      <c r="A55" s="87" t="s">
        <v>1411</v>
      </c>
      <c r="B55" s="89" t="n">
        <f aca="false">SUM(B45:B52)</f>
        <v>0</v>
      </c>
      <c r="C55" s="19"/>
      <c r="D55" s="90" t="str">
        <f aca="false">IF(B53=0,"Sem anticoagulação",IF(B53=1,"Considerar — individualizar (homem)/não indicar (mulher isolado)","🔴 Anticoagulação recomendada"))</f>
        <v>Sem anticoagulação</v>
      </c>
      <c r="E55" s="88" t="s">
        <v>1412</v>
      </c>
    </row>
    <row r="57" customFormat="false" ht="15" hidden="false" customHeight="true" outlineLevel="0" collapsed="false">
      <c r="A57" s="86" t="s">
        <v>1413</v>
      </c>
      <c r="B57" s="86"/>
      <c r="C57" s="86"/>
      <c r="D57" s="86"/>
      <c r="E57" s="86"/>
      <c r="F57" s="86"/>
    </row>
    <row r="58" customFormat="false" ht="15" hidden="false" customHeight="true" outlineLevel="0" collapsed="false">
      <c r="A58" s="17" t="s">
        <v>1355</v>
      </c>
      <c r="B58" s="17" t="s">
        <v>1356</v>
      </c>
      <c r="C58" s="17" t="s">
        <v>1357</v>
      </c>
      <c r="D58" s="17" t="s">
        <v>1358</v>
      </c>
      <c r="E58" s="17" t="s">
        <v>1359</v>
      </c>
    </row>
    <row r="59" customFormat="false" ht="24" hidden="false" customHeight="true" outlineLevel="0" collapsed="false">
      <c r="A59" s="87" t="s">
        <v>1414</v>
      </c>
      <c r="B59" s="19"/>
      <c r="C59" s="19"/>
      <c r="E59" s="88"/>
    </row>
    <row r="60" customFormat="false" ht="24" hidden="false" customHeight="true" outlineLevel="0" collapsed="false">
      <c r="A60" s="87" t="s">
        <v>1415</v>
      </c>
      <c r="B60" s="19"/>
      <c r="C60" s="19"/>
      <c r="E60" s="88"/>
    </row>
    <row r="61" customFormat="false" ht="24" hidden="false" customHeight="true" outlineLevel="0" collapsed="false">
      <c r="A61" s="87" t="s">
        <v>1416</v>
      </c>
      <c r="B61" s="19"/>
      <c r="C61" s="19"/>
      <c r="D61" s="90" t="s">
        <v>1417</v>
      </c>
      <c r="E61" s="88" t="s">
        <v>1418</v>
      </c>
    </row>
    <row r="62" customFormat="false" ht="24" hidden="false" customHeight="true" outlineLevel="0" collapsed="false">
      <c r="A62" s="87" t="s">
        <v>1419</v>
      </c>
      <c r="B62" s="89" t="str">
        <f aca="false">IF(AND(B56&lt;&gt;"",B57&lt;&gt;"",B58&lt;&gt;""),B56*B57*60/B58,"")</f>
        <v/>
      </c>
      <c r="C62" s="19"/>
      <c r="E62" s="88" t="s">
        <v>1420</v>
      </c>
    </row>
    <row r="64" customFormat="false" ht="15" hidden="false" customHeight="true" outlineLevel="0" collapsed="false">
      <c r="A64" s="86" t="s">
        <v>1421</v>
      </c>
      <c r="B64" s="86"/>
      <c r="C64" s="86"/>
      <c r="D64" s="86"/>
      <c r="E64" s="86"/>
      <c r="F64" s="86"/>
    </row>
    <row r="65" customFormat="false" ht="15" hidden="false" customHeight="true" outlineLevel="0" collapsed="false">
      <c r="A65" s="17" t="s">
        <v>1355</v>
      </c>
      <c r="B65" s="17" t="s">
        <v>1356</v>
      </c>
      <c r="C65" s="17" t="s">
        <v>1357</v>
      </c>
      <c r="D65" s="17" t="s">
        <v>1358</v>
      </c>
      <c r="E65" s="17" t="s">
        <v>1359</v>
      </c>
    </row>
    <row r="66" customFormat="false" ht="24" hidden="false" customHeight="true" outlineLevel="0" collapsed="false">
      <c r="A66" s="87" t="s">
        <v>1422</v>
      </c>
      <c r="B66" s="19"/>
      <c r="C66" s="19"/>
      <c r="D66" s="90" t="str">
        <f aca="false">IF(B62&lt;70,"HIPOGLICEMIA-suspender insulina",IF(B62&lt;140,"Meta atingida 140-180",IF(B62&lt;180,"Limite aceitavel",IF(B62&lt;250,"Ajustar infusao",IF(B62&lt;400,"Hiperglicemia-protocolo","CAD/EHH-protocolo")))))</f>
        <v>CAD/EHH-protocolo</v>
      </c>
      <c r="E66" s="88" t="s">
        <v>1423</v>
      </c>
    </row>
    <row r="67" customFormat="false" ht="24" hidden="false" customHeight="true" outlineLevel="0" collapsed="false">
      <c r="A67" s="87" t="s">
        <v>1424</v>
      </c>
      <c r="B67" s="89" t="s">
        <v>1425</v>
      </c>
      <c r="C67" s="19"/>
      <c r="D67" s="90" t="s">
        <v>1426</v>
      </c>
      <c r="E67" s="88" t="s">
        <v>1427</v>
      </c>
    </row>
    <row r="68" customFormat="false" ht="24" hidden="false" customHeight="true" outlineLevel="0" collapsed="false">
      <c r="A68" s="87" t="s">
        <v>1428</v>
      </c>
      <c r="B68" s="89" t="s">
        <v>1429</v>
      </c>
      <c r="C68" s="19"/>
      <c r="D68" s="90" t="s">
        <v>1430</v>
      </c>
      <c r="E68" s="88" t="s">
        <v>1431</v>
      </c>
    </row>
    <row r="69" customFormat="false" ht="24" hidden="false" customHeight="true" outlineLevel="0" collapsed="false">
      <c r="A69" s="87" t="s">
        <v>1432</v>
      </c>
      <c r="B69" s="89" t="s">
        <v>1433</v>
      </c>
      <c r="C69" s="19"/>
      <c r="D69" s="90" t="s">
        <v>1434</v>
      </c>
      <c r="E69" s="88" t="s">
        <v>1435</v>
      </c>
    </row>
    <row r="70" customFormat="false" ht="24" hidden="false" customHeight="true" outlineLevel="0" collapsed="false">
      <c r="A70" s="87" t="s">
        <v>1436</v>
      </c>
      <c r="B70" s="89" t="s">
        <v>1437</v>
      </c>
      <c r="C70" s="19"/>
      <c r="D70" s="90" t="s">
        <v>1438</v>
      </c>
      <c r="E70" s="88" t="s">
        <v>1439</v>
      </c>
    </row>
    <row r="71" customFormat="false" ht="24" hidden="false" customHeight="true" outlineLevel="0" collapsed="false">
      <c r="A71" s="87" t="s">
        <v>1440</v>
      </c>
      <c r="B71" s="89" t="s">
        <v>1441</v>
      </c>
      <c r="C71" s="19"/>
      <c r="D71" s="90" t="s">
        <v>1442</v>
      </c>
      <c r="E71" s="88" t="s">
        <v>1443</v>
      </c>
    </row>
  </sheetData>
  <mergeCells count="9">
    <mergeCell ref="A1:F1"/>
    <mergeCell ref="A3:F3"/>
    <mergeCell ref="A11:F11"/>
    <mergeCell ref="A19:F19"/>
    <mergeCell ref="A29:F29"/>
    <mergeCell ref="A37:F37"/>
    <mergeCell ref="A45:F45"/>
    <mergeCell ref="A57:F57"/>
    <mergeCell ref="A64:F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B00"/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  <col collapsed="false" customWidth="true" hidden="false" outlineLevel="0" max="3" min="2" style="1" width="10"/>
  </cols>
  <sheetData>
    <row r="1" customFormat="false" ht="27.75" hidden="false" customHeight="true" outlineLevel="0" collapsed="false">
      <c r="A1" s="42" t="s">
        <v>1444</v>
      </c>
      <c r="B1" s="42"/>
      <c r="C1" s="42"/>
    </row>
    <row r="2" customFormat="false" ht="24" hidden="false" customHeight="true" outlineLevel="0" collapsed="false">
      <c r="A2" s="67" t="s">
        <v>1445</v>
      </c>
      <c r="B2" s="67"/>
      <c r="C2" s="67"/>
    </row>
    <row r="3" customFormat="false" ht="31.5" hidden="false" customHeight="true" outlineLevel="0" collapsed="false">
      <c r="A3" s="92" t="s">
        <v>1446</v>
      </c>
      <c r="B3" s="92"/>
      <c r="C3" s="92"/>
    </row>
    <row r="4" customFormat="false" ht="31.5" hidden="false" customHeight="true" outlineLevel="0" collapsed="false">
      <c r="A4" s="93" t="s">
        <v>1447</v>
      </c>
      <c r="B4" s="93"/>
      <c r="C4" s="93"/>
    </row>
    <row r="5" customFormat="false" ht="31.5" hidden="false" customHeight="true" outlineLevel="0" collapsed="false">
      <c r="A5" s="94" t="s">
        <v>1448</v>
      </c>
      <c r="B5" s="94"/>
      <c r="C5" s="94"/>
    </row>
    <row r="6" customFormat="false" ht="31.5" hidden="false" customHeight="true" outlineLevel="0" collapsed="false">
      <c r="A6" s="94" t="s">
        <v>1449</v>
      </c>
      <c r="B6" s="94"/>
      <c r="C6" s="94"/>
    </row>
    <row r="7" customFormat="false" ht="31.5" hidden="false" customHeight="true" outlineLevel="0" collapsed="false">
      <c r="A7" s="95" t="s">
        <v>1450</v>
      </c>
      <c r="B7" s="95"/>
      <c r="C7" s="95"/>
    </row>
    <row r="8" customFormat="false" ht="31.5" hidden="false" customHeight="true" outlineLevel="0" collapsed="false">
      <c r="A8" s="96" t="s">
        <v>1451</v>
      </c>
      <c r="B8" s="96"/>
      <c r="C8" s="96"/>
    </row>
    <row r="10" customFormat="false" ht="24" hidden="false" customHeight="true" outlineLevel="0" collapsed="false">
      <c r="A10" s="67" t="s">
        <v>1452</v>
      </c>
      <c r="B10" s="67"/>
      <c r="C10" s="67"/>
    </row>
    <row r="11" customFormat="false" ht="31.5" hidden="false" customHeight="true" outlineLevel="0" collapsed="false">
      <c r="A11" s="92" t="s">
        <v>1453</v>
      </c>
      <c r="B11" s="92"/>
      <c r="C11" s="92"/>
    </row>
    <row r="12" customFormat="false" ht="31.5" hidden="false" customHeight="true" outlineLevel="0" collapsed="false">
      <c r="A12" s="93" t="s">
        <v>1454</v>
      </c>
      <c r="B12" s="93"/>
      <c r="C12" s="93"/>
    </row>
    <row r="13" customFormat="false" ht="31.5" hidden="false" customHeight="true" outlineLevel="0" collapsed="false">
      <c r="A13" s="94" t="s">
        <v>1455</v>
      </c>
      <c r="B13" s="94"/>
      <c r="C13" s="94"/>
    </row>
    <row r="14" customFormat="false" ht="31.5" hidden="false" customHeight="true" outlineLevel="0" collapsed="false">
      <c r="A14" s="97" t="s">
        <v>1456</v>
      </c>
      <c r="B14" s="97"/>
      <c r="C14" s="97"/>
    </row>
    <row r="15" customFormat="false" ht="31.5" hidden="false" customHeight="true" outlineLevel="0" collapsed="false">
      <c r="A15" s="96" t="s">
        <v>1457</v>
      </c>
      <c r="B15" s="96"/>
      <c r="C15" s="96"/>
    </row>
    <row r="16" customFormat="false" ht="31.5" hidden="false" customHeight="true" outlineLevel="0" collapsed="false">
      <c r="A16" s="94" t="s">
        <v>1458</v>
      </c>
      <c r="B16" s="94"/>
      <c r="C16" s="94"/>
    </row>
    <row r="18" customFormat="false" ht="24" hidden="false" customHeight="true" outlineLevel="0" collapsed="false">
      <c r="A18" s="67" t="s">
        <v>1459</v>
      </c>
      <c r="B18" s="67"/>
      <c r="C18" s="67"/>
    </row>
    <row r="19" customFormat="false" ht="31.5" hidden="false" customHeight="true" outlineLevel="0" collapsed="false">
      <c r="A19" s="98" t="s">
        <v>1460</v>
      </c>
      <c r="B19" s="98"/>
      <c r="C19" s="98"/>
    </row>
    <row r="20" customFormat="false" ht="31.5" hidden="false" customHeight="true" outlineLevel="0" collapsed="false">
      <c r="A20" s="96" t="s">
        <v>1461</v>
      </c>
      <c r="B20" s="96"/>
      <c r="C20" s="96"/>
    </row>
    <row r="21" customFormat="false" ht="31.5" hidden="false" customHeight="true" outlineLevel="0" collapsed="false">
      <c r="A21" s="94" t="s">
        <v>1462</v>
      </c>
      <c r="B21" s="94"/>
      <c r="C21" s="94"/>
    </row>
    <row r="22" customFormat="false" ht="31.5" hidden="false" customHeight="true" outlineLevel="0" collapsed="false">
      <c r="A22" s="94" t="s">
        <v>1463</v>
      </c>
      <c r="B22" s="94"/>
      <c r="C22" s="94"/>
    </row>
    <row r="23" customFormat="false" ht="31.5" hidden="false" customHeight="true" outlineLevel="0" collapsed="false">
      <c r="A23" s="93" t="s">
        <v>1464</v>
      </c>
      <c r="B23" s="93"/>
      <c r="C23" s="93"/>
    </row>
    <row r="24" customFormat="false" ht="31.5" hidden="false" customHeight="true" outlineLevel="0" collapsed="false">
      <c r="A24" s="92" t="s">
        <v>1465</v>
      </c>
      <c r="B24" s="92"/>
      <c r="C24" s="92"/>
    </row>
    <row r="25" customFormat="false" ht="31.5" hidden="false" customHeight="true" outlineLevel="0" collapsed="false">
      <c r="A25" s="97" t="s">
        <v>1466</v>
      </c>
      <c r="B25" s="97"/>
      <c r="C25" s="97"/>
    </row>
    <row r="27" customFormat="false" ht="24" hidden="false" customHeight="true" outlineLevel="0" collapsed="false">
      <c r="A27" s="67" t="s">
        <v>1467</v>
      </c>
      <c r="B27" s="67"/>
      <c r="C27" s="67"/>
    </row>
    <row r="28" customFormat="false" ht="31.5" hidden="false" customHeight="true" outlineLevel="0" collapsed="false">
      <c r="A28" s="92" t="s">
        <v>1468</v>
      </c>
      <c r="B28" s="92"/>
      <c r="C28" s="92"/>
    </row>
    <row r="29" customFormat="false" ht="31.5" hidden="false" customHeight="true" outlineLevel="0" collapsed="false">
      <c r="A29" s="94" t="s">
        <v>1469</v>
      </c>
      <c r="B29" s="94"/>
      <c r="C29" s="94"/>
    </row>
    <row r="30" customFormat="false" ht="31.5" hidden="false" customHeight="true" outlineLevel="0" collapsed="false">
      <c r="A30" s="94" t="s">
        <v>1470</v>
      </c>
      <c r="B30" s="94"/>
      <c r="C30" s="94"/>
    </row>
    <row r="31" customFormat="false" ht="31.5" hidden="false" customHeight="true" outlineLevel="0" collapsed="false">
      <c r="A31" s="93" t="s">
        <v>1471</v>
      </c>
      <c r="B31" s="93"/>
      <c r="C31" s="93"/>
    </row>
    <row r="32" customFormat="false" ht="31.5" hidden="false" customHeight="true" outlineLevel="0" collapsed="false">
      <c r="A32" s="93" t="s">
        <v>1472</v>
      </c>
      <c r="B32" s="93"/>
      <c r="C32" s="93"/>
    </row>
    <row r="33" customFormat="false" ht="31.5" hidden="false" customHeight="true" outlineLevel="0" collapsed="false">
      <c r="A33" s="96" t="s">
        <v>1473</v>
      </c>
      <c r="B33" s="96"/>
      <c r="C33" s="96"/>
    </row>
    <row r="35" customFormat="false" ht="24" hidden="false" customHeight="true" outlineLevel="0" collapsed="false">
      <c r="A35" s="67" t="s">
        <v>1474</v>
      </c>
      <c r="B35" s="67"/>
      <c r="C35" s="67"/>
    </row>
    <row r="36" customFormat="false" ht="31.5" hidden="false" customHeight="true" outlineLevel="0" collapsed="false">
      <c r="A36" s="98" t="s">
        <v>1475</v>
      </c>
      <c r="B36" s="98"/>
      <c r="C36" s="98"/>
    </row>
    <row r="37" customFormat="false" ht="31.5" hidden="false" customHeight="true" outlineLevel="0" collapsed="false">
      <c r="A37" s="96" t="s">
        <v>1476</v>
      </c>
      <c r="B37" s="96"/>
      <c r="C37" s="96"/>
    </row>
    <row r="38" customFormat="false" ht="31.5" hidden="false" customHeight="true" outlineLevel="0" collapsed="false">
      <c r="A38" s="94" t="s">
        <v>1477</v>
      </c>
      <c r="B38" s="94"/>
      <c r="C38" s="94"/>
    </row>
    <row r="39" customFormat="false" ht="31.5" hidden="false" customHeight="true" outlineLevel="0" collapsed="false">
      <c r="A39" s="97" t="s">
        <v>1478</v>
      </c>
      <c r="B39" s="97"/>
      <c r="C39" s="97"/>
    </row>
    <row r="40" customFormat="false" ht="31.5" hidden="false" customHeight="true" outlineLevel="0" collapsed="false">
      <c r="A40" s="93" t="s">
        <v>1479</v>
      </c>
      <c r="B40" s="93"/>
      <c r="C40" s="93"/>
    </row>
    <row r="41" customFormat="false" ht="31.5" hidden="false" customHeight="true" outlineLevel="0" collapsed="false">
      <c r="A41" s="93" t="s">
        <v>1480</v>
      </c>
      <c r="B41" s="93"/>
      <c r="C41" s="93"/>
    </row>
    <row r="43" customFormat="false" ht="24" hidden="false" customHeight="true" outlineLevel="0" collapsed="false">
      <c r="A43" s="67" t="s">
        <v>1481</v>
      </c>
      <c r="B43" s="67"/>
      <c r="C43" s="67"/>
    </row>
    <row r="44" customFormat="false" ht="31.5" hidden="false" customHeight="true" outlineLevel="0" collapsed="false">
      <c r="A44" s="92" t="s">
        <v>1482</v>
      </c>
      <c r="B44" s="92"/>
      <c r="C44" s="92"/>
    </row>
    <row r="45" customFormat="false" ht="31.5" hidden="false" customHeight="true" outlineLevel="0" collapsed="false">
      <c r="A45" s="96" t="s">
        <v>1483</v>
      </c>
      <c r="B45" s="96"/>
      <c r="C45" s="96"/>
    </row>
    <row r="46" customFormat="false" ht="31.5" hidden="false" customHeight="true" outlineLevel="0" collapsed="false">
      <c r="A46" s="94" t="s">
        <v>1484</v>
      </c>
      <c r="B46" s="94"/>
      <c r="C46" s="94"/>
    </row>
    <row r="47" customFormat="false" ht="31.5" hidden="false" customHeight="true" outlineLevel="0" collapsed="false">
      <c r="A47" s="94" t="s">
        <v>1485</v>
      </c>
      <c r="B47" s="94"/>
      <c r="C47" s="94"/>
    </row>
    <row r="48" customFormat="false" ht="31.5" hidden="false" customHeight="true" outlineLevel="0" collapsed="false">
      <c r="A48" s="97" t="s">
        <v>1486</v>
      </c>
      <c r="B48" s="97"/>
      <c r="C48" s="97"/>
    </row>
    <row r="49" customFormat="false" ht="31.5" hidden="false" customHeight="true" outlineLevel="0" collapsed="false">
      <c r="A49" s="93" t="s">
        <v>1487</v>
      </c>
      <c r="B49" s="93"/>
      <c r="C49" s="93"/>
    </row>
    <row r="51" customFormat="false" ht="24" hidden="false" customHeight="true" outlineLevel="0" collapsed="false">
      <c r="A51" s="67" t="s">
        <v>1488</v>
      </c>
      <c r="B51" s="67"/>
      <c r="C51" s="67"/>
    </row>
    <row r="52" customFormat="false" ht="31.5" hidden="false" customHeight="true" outlineLevel="0" collapsed="false">
      <c r="A52" s="98" t="s">
        <v>1489</v>
      </c>
      <c r="B52" s="98"/>
      <c r="C52" s="98"/>
    </row>
    <row r="53" customFormat="false" ht="31.5" hidden="false" customHeight="true" outlineLevel="0" collapsed="false">
      <c r="A53" s="93" t="s">
        <v>1490</v>
      </c>
      <c r="B53" s="93"/>
      <c r="C53" s="93"/>
    </row>
    <row r="54" customFormat="false" ht="31.5" hidden="false" customHeight="true" outlineLevel="0" collapsed="false">
      <c r="A54" s="93" t="s">
        <v>1491</v>
      </c>
      <c r="B54" s="93"/>
      <c r="C54" s="93"/>
    </row>
    <row r="55" customFormat="false" ht="31.5" hidden="false" customHeight="true" outlineLevel="0" collapsed="false">
      <c r="A55" s="94" t="s">
        <v>1492</v>
      </c>
      <c r="B55" s="94"/>
      <c r="C55" s="94"/>
    </row>
    <row r="56" customFormat="false" ht="31.5" hidden="false" customHeight="true" outlineLevel="0" collapsed="false">
      <c r="A56" s="96" t="s">
        <v>1493</v>
      </c>
      <c r="B56" s="96"/>
      <c r="C56" s="96"/>
    </row>
    <row r="57" customFormat="false" ht="31.5" hidden="false" customHeight="true" outlineLevel="0" collapsed="false">
      <c r="A57" s="96" t="s">
        <v>1494</v>
      </c>
      <c r="B57" s="96"/>
      <c r="C57" s="96"/>
    </row>
    <row r="58" customFormat="false" ht="31.5" hidden="false" customHeight="true" outlineLevel="0" collapsed="false">
      <c r="A58" s="95" t="s">
        <v>1495</v>
      </c>
      <c r="B58" s="95"/>
      <c r="C58" s="95"/>
    </row>
  </sheetData>
  <mergeCells count="52">
    <mergeCell ref="A1:C1"/>
    <mergeCell ref="A2:C2"/>
    <mergeCell ref="A3:C3"/>
    <mergeCell ref="A4:C4"/>
    <mergeCell ref="A5:C5"/>
    <mergeCell ref="A6:C6"/>
    <mergeCell ref="A7:C7"/>
    <mergeCell ref="A8:C8"/>
    <mergeCell ref="A10:C10"/>
    <mergeCell ref="A11:C11"/>
    <mergeCell ref="A12:C12"/>
    <mergeCell ref="A13:C13"/>
    <mergeCell ref="A14:C14"/>
    <mergeCell ref="A15:C15"/>
    <mergeCell ref="A16:C16"/>
    <mergeCell ref="A18:C18"/>
    <mergeCell ref="A19:C19"/>
    <mergeCell ref="A20:C20"/>
    <mergeCell ref="A21:C21"/>
    <mergeCell ref="A22:C22"/>
    <mergeCell ref="A23:C23"/>
    <mergeCell ref="A24:C24"/>
    <mergeCell ref="A25:C25"/>
    <mergeCell ref="A27:C27"/>
    <mergeCell ref="A28:C28"/>
    <mergeCell ref="A29:C29"/>
    <mergeCell ref="A30:C30"/>
    <mergeCell ref="A31:C31"/>
    <mergeCell ref="A32:C32"/>
    <mergeCell ref="A33:C33"/>
    <mergeCell ref="A35:C35"/>
    <mergeCell ref="A36:C36"/>
    <mergeCell ref="A37:C37"/>
    <mergeCell ref="A38:C38"/>
    <mergeCell ref="A39:C39"/>
    <mergeCell ref="A40:C40"/>
    <mergeCell ref="A41:C41"/>
    <mergeCell ref="A43:C43"/>
    <mergeCell ref="A44:C44"/>
    <mergeCell ref="A45:C45"/>
    <mergeCell ref="A46:C46"/>
    <mergeCell ref="A47:C47"/>
    <mergeCell ref="A48:C48"/>
    <mergeCell ref="A49:C49"/>
    <mergeCell ref="A51:C51"/>
    <mergeCell ref="A52:C52"/>
    <mergeCell ref="A53:C53"/>
    <mergeCell ref="A54:C54"/>
    <mergeCell ref="A55:C55"/>
    <mergeCell ref="A56:C56"/>
    <mergeCell ref="A57:C57"/>
    <mergeCell ref="A58:C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80"/>
    <col collapsed="false" customWidth="true" hidden="false" outlineLevel="0" max="5" min="3" style="1" width="10"/>
  </cols>
  <sheetData>
    <row r="1" customFormat="false" ht="27.75" hidden="false" customHeight="true" outlineLevel="0" collapsed="false">
      <c r="A1" s="48" t="s">
        <v>1496</v>
      </c>
      <c r="B1" s="48"/>
      <c r="C1" s="48"/>
      <c r="D1" s="48"/>
      <c r="E1" s="48"/>
    </row>
    <row r="2" customFormat="false" ht="15" hidden="false" customHeight="true" outlineLevel="0" collapsed="false">
      <c r="A2" s="68" t="s">
        <v>1497</v>
      </c>
      <c r="B2" s="68"/>
      <c r="C2" s="68"/>
      <c r="D2" s="68"/>
      <c r="E2" s="68"/>
    </row>
    <row r="3" customFormat="false" ht="15" hidden="false" customHeight="true" outlineLevel="0" collapsed="false">
      <c r="A3" s="17" t="s">
        <v>1498</v>
      </c>
      <c r="B3" s="17" t="s">
        <v>1499</v>
      </c>
    </row>
    <row r="4" customFormat="false" ht="27.75" hidden="false" customHeight="true" outlineLevel="0" collapsed="false">
      <c r="A4" s="99" t="s">
        <v>829</v>
      </c>
      <c r="B4" s="100" t="s">
        <v>1500</v>
      </c>
      <c r="C4" s="100"/>
      <c r="D4" s="100"/>
      <c r="E4" s="100"/>
    </row>
    <row r="5" customFormat="false" ht="27.75" hidden="false" customHeight="true" outlineLevel="0" collapsed="false">
      <c r="A5" s="101" t="s">
        <v>1501</v>
      </c>
      <c r="B5" s="102" t="s">
        <v>1502</v>
      </c>
      <c r="C5" s="102"/>
      <c r="D5" s="102"/>
      <c r="E5" s="102"/>
    </row>
    <row r="6" customFormat="false" ht="27.75" hidden="false" customHeight="true" outlineLevel="0" collapsed="false">
      <c r="A6" s="99" t="s">
        <v>809</v>
      </c>
      <c r="B6" s="100" t="s">
        <v>1503</v>
      </c>
      <c r="C6" s="100"/>
      <c r="D6" s="100"/>
      <c r="E6" s="100"/>
    </row>
    <row r="7" customFormat="false" ht="27.75" hidden="false" customHeight="true" outlineLevel="0" collapsed="false">
      <c r="A7" s="101" t="s">
        <v>1504</v>
      </c>
      <c r="B7" s="102" t="s">
        <v>1505</v>
      </c>
      <c r="C7" s="102"/>
      <c r="D7" s="102"/>
      <c r="E7" s="102"/>
    </row>
    <row r="8" customFormat="false" ht="27.75" hidden="false" customHeight="true" outlineLevel="0" collapsed="false">
      <c r="A8" s="99" t="s">
        <v>1506</v>
      </c>
      <c r="B8" s="100" t="s">
        <v>1507</v>
      </c>
      <c r="C8" s="100"/>
      <c r="D8" s="100"/>
      <c r="E8" s="100"/>
    </row>
    <row r="9" customFormat="false" ht="27.75" hidden="false" customHeight="true" outlineLevel="0" collapsed="false">
      <c r="A9" s="101" t="s">
        <v>1508</v>
      </c>
      <c r="B9" s="102" t="s">
        <v>1509</v>
      </c>
      <c r="C9" s="102"/>
      <c r="D9" s="102"/>
      <c r="E9" s="102"/>
    </row>
    <row r="10" customFormat="false" ht="27.75" hidden="false" customHeight="true" outlineLevel="0" collapsed="false">
      <c r="A10" s="99" t="s">
        <v>1510</v>
      </c>
      <c r="B10" s="100" t="s">
        <v>1511</v>
      </c>
      <c r="C10" s="100"/>
      <c r="D10" s="100"/>
      <c r="E10" s="100"/>
    </row>
    <row r="11" customFormat="false" ht="27.75" hidden="false" customHeight="true" outlineLevel="0" collapsed="false">
      <c r="A11" s="101" t="s">
        <v>1512</v>
      </c>
      <c r="B11" s="102" t="s">
        <v>1513</v>
      </c>
      <c r="C11" s="102"/>
      <c r="D11" s="102"/>
      <c r="E11" s="102"/>
    </row>
    <row r="13" customFormat="false" ht="15" hidden="false" customHeight="true" outlineLevel="0" collapsed="false">
      <c r="A13" s="68" t="s">
        <v>1514</v>
      </c>
      <c r="B13" s="68"/>
      <c r="C13" s="68"/>
      <c r="D13" s="68"/>
      <c r="E13" s="68"/>
    </row>
    <row r="14" customFormat="false" ht="15" hidden="false" customHeight="true" outlineLevel="0" collapsed="false">
      <c r="A14" s="17" t="s">
        <v>1498</v>
      </c>
      <c r="B14" s="17" t="s">
        <v>1499</v>
      </c>
    </row>
    <row r="15" customFormat="false" ht="27.75" hidden="false" customHeight="true" outlineLevel="0" collapsed="false">
      <c r="A15" s="101" t="s">
        <v>1515</v>
      </c>
      <c r="B15" s="102" t="s">
        <v>1516</v>
      </c>
      <c r="C15" s="102"/>
      <c r="D15" s="102"/>
      <c r="E15" s="102"/>
    </row>
    <row r="16" customFormat="false" ht="27.75" hidden="false" customHeight="true" outlineLevel="0" collapsed="false">
      <c r="A16" s="99" t="s">
        <v>1517</v>
      </c>
      <c r="B16" s="100" t="s">
        <v>1518</v>
      </c>
      <c r="C16" s="100"/>
      <c r="D16" s="100"/>
      <c r="E16" s="100"/>
    </row>
    <row r="17" customFormat="false" ht="27.75" hidden="false" customHeight="true" outlineLevel="0" collapsed="false">
      <c r="A17" s="101" t="s">
        <v>1519</v>
      </c>
      <c r="B17" s="102" t="s">
        <v>1520</v>
      </c>
      <c r="C17" s="102"/>
      <c r="D17" s="102"/>
      <c r="E17" s="102"/>
    </row>
    <row r="18" customFormat="false" ht="27.75" hidden="false" customHeight="true" outlineLevel="0" collapsed="false">
      <c r="A18" s="99" t="s">
        <v>369</v>
      </c>
      <c r="B18" s="100" t="s">
        <v>1521</v>
      </c>
      <c r="C18" s="100"/>
      <c r="D18" s="100"/>
      <c r="E18" s="100"/>
    </row>
    <row r="19" customFormat="false" ht="27.75" hidden="false" customHeight="true" outlineLevel="0" collapsed="false">
      <c r="A19" s="101" t="s">
        <v>1522</v>
      </c>
      <c r="B19" s="102" t="s">
        <v>1523</v>
      </c>
      <c r="C19" s="102"/>
      <c r="D19" s="102"/>
      <c r="E19" s="102"/>
    </row>
    <row r="20" customFormat="false" ht="27.75" hidden="false" customHeight="true" outlineLevel="0" collapsed="false">
      <c r="A20" s="99" t="s">
        <v>1524</v>
      </c>
      <c r="B20" s="100" t="s">
        <v>1525</v>
      </c>
      <c r="C20" s="100"/>
      <c r="D20" s="100"/>
      <c r="E20" s="100"/>
    </row>
    <row r="21" customFormat="false" ht="27.75" hidden="false" customHeight="true" outlineLevel="0" collapsed="false">
      <c r="A21" s="101" t="s">
        <v>1526</v>
      </c>
      <c r="B21" s="102" t="s">
        <v>1527</v>
      </c>
      <c r="C21" s="102"/>
      <c r="D21" s="102"/>
      <c r="E21" s="102"/>
    </row>
    <row r="22" customFormat="false" ht="27.75" hidden="false" customHeight="true" outlineLevel="0" collapsed="false">
      <c r="A22" s="99" t="s">
        <v>1528</v>
      </c>
      <c r="B22" s="100" t="s">
        <v>1529</v>
      </c>
      <c r="C22" s="100"/>
      <c r="D22" s="100"/>
      <c r="E22" s="100"/>
    </row>
    <row r="24" customFormat="false" ht="15" hidden="false" customHeight="true" outlineLevel="0" collapsed="false">
      <c r="A24" s="68" t="s">
        <v>1530</v>
      </c>
      <c r="B24" s="68"/>
      <c r="C24" s="68"/>
      <c r="D24" s="68"/>
      <c r="E24" s="68"/>
    </row>
    <row r="25" customFormat="false" ht="15" hidden="false" customHeight="true" outlineLevel="0" collapsed="false">
      <c r="A25" s="17" t="s">
        <v>1498</v>
      </c>
      <c r="B25" s="17" t="s">
        <v>1499</v>
      </c>
    </row>
    <row r="26" customFormat="false" ht="27.75" hidden="false" customHeight="true" outlineLevel="0" collapsed="false">
      <c r="A26" s="99" t="s">
        <v>1531</v>
      </c>
      <c r="B26" s="100" t="s">
        <v>1532</v>
      </c>
      <c r="C26" s="100"/>
      <c r="D26" s="100"/>
      <c r="E26" s="100"/>
    </row>
    <row r="27" customFormat="false" ht="27.75" hidden="false" customHeight="true" outlineLevel="0" collapsed="false">
      <c r="A27" s="101" t="s">
        <v>1533</v>
      </c>
      <c r="B27" s="102" t="s">
        <v>1534</v>
      </c>
      <c r="C27" s="102"/>
      <c r="D27" s="102"/>
      <c r="E27" s="102"/>
    </row>
    <row r="28" customFormat="false" ht="27.75" hidden="false" customHeight="true" outlineLevel="0" collapsed="false">
      <c r="A28" s="99" t="s">
        <v>1535</v>
      </c>
      <c r="B28" s="100" t="s">
        <v>1536</v>
      </c>
      <c r="C28" s="100"/>
      <c r="D28" s="100"/>
      <c r="E28" s="100"/>
    </row>
    <row r="29" customFormat="false" ht="27.75" hidden="false" customHeight="true" outlineLevel="0" collapsed="false">
      <c r="A29" s="101" t="s">
        <v>1537</v>
      </c>
      <c r="B29" s="102" t="s">
        <v>1538</v>
      </c>
      <c r="C29" s="102"/>
      <c r="D29" s="102"/>
      <c r="E29" s="102"/>
    </row>
    <row r="30" customFormat="false" ht="27.75" hidden="false" customHeight="true" outlineLevel="0" collapsed="false">
      <c r="A30" s="99" t="s">
        <v>1539</v>
      </c>
      <c r="B30" s="100" t="s">
        <v>1540</v>
      </c>
      <c r="C30" s="100"/>
      <c r="D30" s="100"/>
      <c r="E30" s="100"/>
    </row>
    <row r="31" customFormat="false" ht="27.75" hidden="false" customHeight="true" outlineLevel="0" collapsed="false">
      <c r="A31" s="101" t="s">
        <v>1541</v>
      </c>
      <c r="B31" s="102" t="s">
        <v>1542</v>
      </c>
      <c r="C31" s="102"/>
      <c r="D31" s="102"/>
      <c r="E31" s="102"/>
    </row>
    <row r="33" customFormat="false" ht="15" hidden="false" customHeight="true" outlineLevel="0" collapsed="false">
      <c r="A33" s="68" t="s">
        <v>1543</v>
      </c>
      <c r="B33" s="68"/>
      <c r="C33" s="68"/>
      <c r="D33" s="68"/>
      <c r="E33" s="68"/>
    </row>
    <row r="34" customFormat="false" ht="15" hidden="false" customHeight="true" outlineLevel="0" collapsed="false">
      <c r="A34" s="17" t="s">
        <v>1498</v>
      </c>
      <c r="B34" s="17" t="s">
        <v>1499</v>
      </c>
    </row>
    <row r="35" customFormat="false" ht="27.75" hidden="false" customHeight="true" outlineLevel="0" collapsed="false">
      <c r="A35" s="101" t="s">
        <v>1544</v>
      </c>
      <c r="B35" s="102" t="s">
        <v>1545</v>
      </c>
      <c r="C35" s="102"/>
      <c r="D35" s="102"/>
      <c r="E35" s="102"/>
    </row>
    <row r="36" customFormat="false" ht="27.75" hidden="false" customHeight="true" outlineLevel="0" collapsed="false">
      <c r="A36" s="99" t="s">
        <v>1546</v>
      </c>
      <c r="B36" s="100" t="s">
        <v>1547</v>
      </c>
      <c r="C36" s="100"/>
      <c r="D36" s="100"/>
      <c r="E36" s="100"/>
    </row>
    <row r="37" customFormat="false" ht="27.75" hidden="false" customHeight="true" outlineLevel="0" collapsed="false">
      <c r="A37" s="101" t="s">
        <v>1548</v>
      </c>
      <c r="B37" s="102" t="s">
        <v>1549</v>
      </c>
      <c r="C37" s="102"/>
      <c r="D37" s="102"/>
      <c r="E37" s="102"/>
    </row>
    <row r="38" customFormat="false" ht="27.75" hidden="false" customHeight="true" outlineLevel="0" collapsed="false">
      <c r="A38" s="99" t="s">
        <v>1550</v>
      </c>
      <c r="B38" s="100" t="s">
        <v>1551</v>
      </c>
      <c r="C38" s="100"/>
      <c r="D38" s="100"/>
      <c r="E38" s="100"/>
    </row>
    <row r="39" customFormat="false" ht="27.75" hidden="false" customHeight="true" outlineLevel="0" collapsed="false">
      <c r="A39" s="101" t="s">
        <v>1552</v>
      </c>
      <c r="B39" s="102" t="s">
        <v>1553</v>
      </c>
      <c r="C39" s="102"/>
      <c r="D39" s="102"/>
      <c r="E39" s="102"/>
    </row>
    <row r="40" customFormat="false" ht="27.75" hidden="false" customHeight="true" outlineLevel="0" collapsed="false">
      <c r="A40" s="99" t="s">
        <v>1554</v>
      </c>
      <c r="B40" s="100" t="s">
        <v>1555</v>
      </c>
      <c r="C40" s="100"/>
      <c r="D40" s="100"/>
      <c r="E40" s="100"/>
    </row>
    <row r="42" customFormat="false" ht="15" hidden="false" customHeight="true" outlineLevel="0" collapsed="false">
      <c r="A42" s="68" t="s">
        <v>1556</v>
      </c>
      <c r="B42" s="68"/>
      <c r="C42" s="68"/>
      <c r="D42" s="68"/>
      <c r="E42" s="68"/>
    </row>
    <row r="43" customFormat="false" ht="15" hidden="false" customHeight="true" outlineLevel="0" collapsed="false">
      <c r="A43" s="17" t="s">
        <v>1498</v>
      </c>
      <c r="B43" s="17" t="s">
        <v>1499</v>
      </c>
    </row>
    <row r="44" customFormat="false" ht="27.75" hidden="false" customHeight="true" outlineLevel="0" collapsed="false">
      <c r="A44" s="99" t="s">
        <v>1557</v>
      </c>
      <c r="B44" s="100" t="s">
        <v>1558</v>
      </c>
      <c r="C44" s="100"/>
      <c r="D44" s="100"/>
      <c r="E44" s="100"/>
    </row>
    <row r="45" customFormat="false" ht="27.75" hidden="false" customHeight="true" outlineLevel="0" collapsed="false">
      <c r="A45" s="101" t="s">
        <v>1559</v>
      </c>
      <c r="B45" s="102" t="s">
        <v>1560</v>
      </c>
      <c r="C45" s="102"/>
      <c r="D45" s="102"/>
      <c r="E45" s="102"/>
    </row>
    <row r="46" customFormat="false" ht="27.75" hidden="false" customHeight="true" outlineLevel="0" collapsed="false">
      <c r="A46" s="99" t="s">
        <v>1561</v>
      </c>
      <c r="B46" s="100" t="s">
        <v>1562</v>
      </c>
      <c r="C46" s="100"/>
      <c r="D46" s="100"/>
      <c r="E46" s="100"/>
    </row>
    <row r="47" customFormat="false" ht="27.75" hidden="false" customHeight="true" outlineLevel="0" collapsed="false">
      <c r="A47" s="101" t="s">
        <v>1563</v>
      </c>
      <c r="B47" s="102" t="s">
        <v>1564</v>
      </c>
      <c r="C47" s="102"/>
      <c r="D47" s="102"/>
      <c r="E47" s="102"/>
    </row>
    <row r="48" customFormat="false" ht="27.75" hidden="false" customHeight="true" outlineLevel="0" collapsed="false">
      <c r="A48" s="99" t="s">
        <v>1565</v>
      </c>
      <c r="B48" s="100" t="s">
        <v>1566</v>
      </c>
      <c r="C48" s="100"/>
      <c r="D48" s="100"/>
      <c r="E48" s="100"/>
    </row>
    <row r="50" customFormat="false" ht="15" hidden="false" customHeight="true" outlineLevel="0" collapsed="false">
      <c r="A50" s="68" t="s">
        <v>1567</v>
      </c>
      <c r="B50" s="68"/>
      <c r="C50" s="68"/>
      <c r="D50" s="68"/>
      <c r="E50" s="68"/>
    </row>
    <row r="51" customFormat="false" ht="15" hidden="false" customHeight="true" outlineLevel="0" collapsed="false">
      <c r="A51" s="17" t="s">
        <v>1498</v>
      </c>
      <c r="B51" s="17" t="s">
        <v>1499</v>
      </c>
    </row>
    <row r="52" customFormat="false" ht="27.75" hidden="false" customHeight="true" outlineLevel="0" collapsed="false">
      <c r="A52" s="99" t="s">
        <v>1568</v>
      </c>
      <c r="B52" s="100" t="s">
        <v>1569</v>
      </c>
      <c r="C52" s="100"/>
      <c r="D52" s="100"/>
      <c r="E52" s="100"/>
    </row>
    <row r="53" customFormat="false" ht="27.75" hidden="false" customHeight="true" outlineLevel="0" collapsed="false">
      <c r="A53" s="101" t="s">
        <v>1570</v>
      </c>
      <c r="B53" s="102" t="s">
        <v>1571</v>
      </c>
      <c r="C53" s="102"/>
      <c r="D53" s="102"/>
      <c r="E53" s="102"/>
    </row>
    <row r="54" customFormat="false" ht="27.75" hidden="false" customHeight="true" outlineLevel="0" collapsed="false">
      <c r="A54" s="99" t="s">
        <v>1572</v>
      </c>
      <c r="B54" s="100" t="s">
        <v>1573</v>
      </c>
      <c r="C54" s="100"/>
      <c r="D54" s="100"/>
      <c r="E54" s="100"/>
    </row>
    <row r="55" customFormat="false" ht="27.75" hidden="false" customHeight="true" outlineLevel="0" collapsed="false">
      <c r="A55" s="101" t="s">
        <v>1574</v>
      </c>
      <c r="B55" s="102" t="s">
        <v>1575</v>
      </c>
      <c r="C55" s="102"/>
      <c r="D55" s="102"/>
      <c r="E55" s="102"/>
    </row>
    <row r="56" customFormat="false" ht="27.75" hidden="false" customHeight="true" outlineLevel="0" collapsed="false">
      <c r="A56" s="99" t="s">
        <v>1576</v>
      </c>
      <c r="B56" s="100" t="s">
        <v>1577</v>
      </c>
      <c r="C56" s="100"/>
      <c r="D56" s="100"/>
      <c r="E56" s="100"/>
    </row>
  </sheetData>
  <mergeCells count="45">
    <mergeCell ref="A1:E1"/>
    <mergeCell ref="A2:E2"/>
    <mergeCell ref="B4:E4"/>
    <mergeCell ref="B5:E5"/>
    <mergeCell ref="B6:E6"/>
    <mergeCell ref="B7:E7"/>
    <mergeCell ref="B8:E8"/>
    <mergeCell ref="B9:E9"/>
    <mergeCell ref="B10:E10"/>
    <mergeCell ref="B11:E11"/>
    <mergeCell ref="A13:E13"/>
    <mergeCell ref="B15:E15"/>
    <mergeCell ref="B16:E16"/>
    <mergeCell ref="B17:E17"/>
    <mergeCell ref="B18:E18"/>
    <mergeCell ref="B19:E19"/>
    <mergeCell ref="B20:E20"/>
    <mergeCell ref="B21:E21"/>
    <mergeCell ref="B22:E22"/>
    <mergeCell ref="A24:E24"/>
    <mergeCell ref="B26:E26"/>
    <mergeCell ref="B27:E27"/>
    <mergeCell ref="B28:E28"/>
    <mergeCell ref="B29:E29"/>
    <mergeCell ref="B30:E30"/>
    <mergeCell ref="B31:E31"/>
    <mergeCell ref="A33:E33"/>
    <mergeCell ref="B35:E35"/>
    <mergeCell ref="B36:E36"/>
    <mergeCell ref="B37:E37"/>
    <mergeCell ref="B38:E38"/>
    <mergeCell ref="B39:E39"/>
    <mergeCell ref="B40:E40"/>
    <mergeCell ref="A42:E42"/>
    <mergeCell ref="B44:E44"/>
    <mergeCell ref="B45:E45"/>
    <mergeCell ref="B46:E46"/>
    <mergeCell ref="B47:E47"/>
    <mergeCell ref="B48:E48"/>
    <mergeCell ref="A50:E50"/>
    <mergeCell ref="B52:E52"/>
    <mergeCell ref="B53:E53"/>
    <mergeCell ref="B54:E54"/>
    <mergeCell ref="B55:E55"/>
    <mergeCell ref="B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9" min="8" style="1" width="18"/>
    <col collapsed="false" customWidth="true" hidden="false" outlineLevel="0" max="10" min="10" style="1" width="16"/>
    <col collapsed="false" customWidth="true" hidden="false" outlineLevel="0" max="11" min="11" style="1" width="22"/>
    <col collapsed="false" customWidth="true" hidden="false" outlineLevel="0" max="12" min="12" style="1" width="30"/>
    <col collapsed="false" customWidth="true" hidden="false" outlineLevel="0" max="13" min="13" style="1" width="25"/>
    <col collapsed="false" customWidth="true" hidden="false" outlineLevel="0" max="15" min="14" style="1" width="30"/>
  </cols>
  <sheetData>
    <row r="1" customFormat="false" ht="27.75" hidden="false" customHeight="true" outlineLevel="0" collapsed="false">
      <c r="A1" s="12" t="s">
        <v>1578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true" outlineLevel="0" collapsed="false">
      <c r="A2" s="103" t="s">
        <v>1579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3" customFormat="false" ht="31.5" hidden="false" customHeight="true" outlineLevel="0" collapsed="false">
      <c r="A3" s="17" t="s">
        <v>76</v>
      </c>
      <c r="B3" s="17" t="s">
        <v>1580</v>
      </c>
      <c r="C3" s="17" t="s">
        <v>1581</v>
      </c>
      <c r="D3" s="17" t="s">
        <v>1582</v>
      </c>
      <c r="E3" s="17" t="s">
        <v>1583</v>
      </c>
      <c r="F3" s="17" t="s">
        <v>1584</v>
      </c>
      <c r="G3" s="17" t="s">
        <v>1585</v>
      </c>
      <c r="H3" s="17" t="s">
        <v>1586</v>
      </c>
      <c r="I3" s="17" t="s">
        <v>1587</v>
      </c>
      <c r="J3" s="17" t="s">
        <v>97</v>
      </c>
      <c r="K3" s="17" t="s">
        <v>98</v>
      </c>
      <c r="L3" s="17" t="s">
        <v>1588</v>
      </c>
      <c r="M3" s="17" t="s">
        <v>1589</v>
      </c>
      <c r="N3" s="17" t="s">
        <v>1590</v>
      </c>
      <c r="O3" s="17" t="s">
        <v>1591</v>
      </c>
    </row>
    <row r="4" customFormat="false" ht="54.75" hidden="false" customHeight="true" outlineLevel="0" collapsed="false">
      <c r="A4" s="18" t="s">
        <v>103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customFormat="false" ht="54.75" hidden="false" customHeight="true" outlineLevel="0" collapsed="false">
      <c r="A5" s="18" t="s">
        <v>104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customFormat="false" ht="54.75" hidden="false" customHeight="true" outlineLevel="0" collapsed="false">
      <c r="A6" s="18" t="s">
        <v>105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customFormat="false" ht="54.75" hidden="false" customHeight="true" outlineLevel="0" collapsed="false">
      <c r="A7" s="18" t="s">
        <v>106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customFormat="false" ht="54.75" hidden="false" customHeight="true" outlineLevel="0" collapsed="false">
      <c r="A8" s="18" t="s">
        <v>107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customFormat="false" ht="54.75" hidden="false" customHeight="true" outlineLevel="0" collapsed="false">
      <c r="A9" s="18" t="s">
        <v>108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customFormat="false" ht="54.75" hidden="false" customHeight="true" outlineLevel="0" collapsed="false">
      <c r="A10" s="18" t="s">
        <v>109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customFormat="false" ht="54.75" hidden="false" customHeight="true" outlineLevel="0" collapsed="false">
      <c r="A11" s="18" t="s">
        <v>110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 customFormat="false" ht="54.75" hidden="false" customHeight="true" outlineLevel="0" collapsed="false">
      <c r="A12" s="18" t="s">
        <v>111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customFormat="false" ht="54.75" hidden="false" customHeight="true" outlineLevel="0" collapsed="false">
      <c r="A13" s="18" t="s">
        <v>112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customFormat="false" ht="54.75" hidden="false" customHeight="true" outlineLevel="0" collapsed="false">
      <c r="A14" s="18" t="s">
        <v>113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customFormat="false" ht="54.75" hidden="false" customHeight="true" outlineLevel="0" collapsed="false">
      <c r="A15" s="18" t="s">
        <v>114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customFormat="false" ht="54.75" hidden="false" customHeight="true" outlineLevel="0" collapsed="false">
      <c r="A16" s="18" t="s">
        <v>115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customFormat="false" ht="54.75" hidden="false" customHeight="true" outlineLevel="0" collapsed="false">
      <c r="A17" s="18" t="s">
        <v>116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customFormat="false" ht="54.75" hidden="false" customHeight="true" outlineLevel="0" collapsed="false">
      <c r="A18" s="18" t="s">
        <v>117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customFormat="false" ht="54.75" hidden="false" customHeight="true" outlineLevel="0" collapsed="false">
      <c r="A19" s="18" t="s">
        <v>118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customFormat="false" ht="54.75" hidden="false" customHeight="true" outlineLevel="0" collapsed="false">
      <c r="A20" s="18" t="s">
        <v>119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customFormat="false" ht="54.75" hidden="false" customHeight="true" outlineLevel="0" collapsed="false">
      <c r="A21" s="18" t="s">
        <v>120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customFormat="false" ht="54.75" hidden="false" customHeight="true" outlineLevel="0" collapsed="false">
      <c r="A22" s="18" t="s">
        <v>121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customFormat="false" ht="54.75" hidden="false" customHeight="true" outlineLevel="0" collapsed="false">
      <c r="A23" s="18" t="s">
        <v>122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C8C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30"/>
  </cols>
  <sheetData>
    <row r="1" customFormat="false" ht="27.75" hidden="false" customHeight="true" outlineLevel="0" collapsed="false">
      <c r="A1" s="21" t="s">
        <v>1592</v>
      </c>
      <c r="B1" s="21"/>
      <c r="C1" s="21"/>
      <c r="D1" s="21"/>
    </row>
    <row r="2" customFormat="false" ht="15" hidden="false" customHeight="true" outlineLevel="0" collapsed="false">
      <c r="A2" s="22" t="s">
        <v>1593</v>
      </c>
      <c r="B2" s="22"/>
      <c r="C2" s="22"/>
      <c r="D2" s="22"/>
    </row>
    <row r="3" customFormat="false" ht="15" hidden="false" customHeight="true" outlineLevel="0" collapsed="false">
      <c r="A3" s="104" t="s">
        <v>1594</v>
      </c>
      <c r="B3" s="104" t="s">
        <v>1595</v>
      </c>
      <c r="C3" s="104" t="s">
        <v>1596</v>
      </c>
      <c r="D3" s="104" t="s">
        <v>1597</v>
      </c>
    </row>
    <row r="4" customFormat="false" ht="21.75" hidden="false" customHeight="true" outlineLevel="0" collapsed="false">
      <c r="A4" s="105" t="s">
        <v>1598</v>
      </c>
      <c r="B4" s="105" t="s">
        <v>1599</v>
      </c>
      <c r="C4" s="105" t="s">
        <v>1600</v>
      </c>
      <c r="D4" s="105" t="s">
        <v>1601</v>
      </c>
    </row>
    <row r="5" customFormat="false" ht="21.75" hidden="false" customHeight="true" outlineLevel="0" collapsed="false">
      <c r="A5" s="106" t="s">
        <v>1602</v>
      </c>
      <c r="B5" s="106" t="s">
        <v>1603</v>
      </c>
      <c r="C5" s="106" t="s">
        <v>1604</v>
      </c>
      <c r="D5" s="106" t="s">
        <v>1605</v>
      </c>
    </row>
    <row r="6" customFormat="false" ht="21.75" hidden="false" customHeight="true" outlineLevel="0" collapsed="false">
      <c r="A6" s="105" t="s">
        <v>1606</v>
      </c>
      <c r="B6" s="105" t="s">
        <v>1607</v>
      </c>
      <c r="C6" s="105" t="s">
        <v>1608</v>
      </c>
      <c r="D6" s="105" t="s">
        <v>1609</v>
      </c>
    </row>
    <row r="7" customFormat="false" ht="21.75" hidden="false" customHeight="true" outlineLevel="0" collapsed="false">
      <c r="A7" s="106" t="s">
        <v>1610</v>
      </c>
      <c r="B7" s="106" t="s">
        <v>1611</v>
      </c>
      <c r="C7" s="106" t="s">
        <v>1612</v>
      </c>
      <c r="D7" s="106" t="s">
        <v>1613</v>
      </c>
    </row>
    <row r="8" customFormat="false" ht="21.75" hidden="false" customHeight="true" outlineLevel="0" collapsed="false">
      <c r="A8" s="105" t="s">
        <v>1614</v>
      </c>
      <c r="B8" s="105" t="s">
        <v>1615</v>
      </c>
      <c r="C8" s="105" t="s">
        <v>1616</v>
      </c>
      <c r="D8" s="105" t="s">
        <v>1617</v>
      </c>
    </row>
    <row r="9" customFormat="false" ht="21.75" hidden="false" customHeight="true" outlineLevel="0" collapsed="false">
      <c r="A9" s="106" t="s">
        <v>1618</v>
      </c>
      <c r="B9" s="106" t="s">
        <v>1619</v>
      </c>
      <c r="C9" s="106" t="s">
        <v>1620</v>
      </c>
      <c r="D9" s="106" t="s">
        <v>1621</v>
      </c>
    </row>
    <row r="10" customFormat="false" ht="21.75" hidden="false" customHeight="true" outlineLevel="0" collapsed="false">
      <c r="A10" s="105" t="s">
        <v>1622</v>
      </c>
      <c r="B10" s="105" t="s">
        <v>1623</v>
      </c>
      <c r="C10" s="105" t="s">
        <v>1624</v>
      </c>
      <c r="D10" s="105" t="s">
        <v>1625</v>
      </c>
    </row>
    <row r="11" customFormat="false" ht="21.75" hidden="false" customHeight="true" outlineLevel="0" collapsed="false">
      <c r="A11" s="106" t="s">
        <v>1626</v>
      </c>
      <c r="B11" s="106" t="s">
        <v>1627</v>
      </c>
      <c r="C11" s="106" t="s">
        <v>1628</v>
      </c>
      <c r="D11" s="106" t="s">
        <v>1629</v>
      </c>
    </row>
    <row r="12" customFormat="false" ht="21.75" hidden="false" customHeight="true" outlineLevel="0" collapsed="false">
      <c r="A12" s="105" t="s">
        <v>1630</v>
      </c>
      <c r="B12" s="105" t="s">
        <v>1631</v>
      </c>
      <c r="C12" s="105" t="s">
        <v>1632</v>
      </c>
      <c r="D12" s="105" t="s">
        <v>1633</v>
      </c>
    </row>
    <row r="13" customFormat="false" ht="21.75" hidden="false" customHeight="true" outlineLevel="0" collapsed="false">
      <c r="A13" s="106" t="s">
        <v>1634</v>
      </c>
      <c r="B13" s="106" t="s">
        <v>1635</v>
      </c>
      <c r="C13" s="106" t="s">
        <v>1636</v>
      </c>
      <c r="D13" s="106" t="s">
        <v>1637</v>
      </c>
    </row>
    <row r="14" customFormat="false" ht="21.75" hidden="false" customHeight="true" outlineLevel="0" collapsed="false">
      <c r="A14" s="105" t="s">
        <v>1638</v>
      </c>
      <c r="B14" s="105" t="s">
        <v>1631</v>
      </c>
      <c r="C14" s="105" t="s">
        <v>1639</v>
      </c>
      <c r="D14" s="105" t="s">
        <v>1640</v>
      </c>
    </row>
    <row r="15" customFormat="false" ht="21.75" hidden="false" customHeight="true" outlineLevel="0" collapsed="false">
      <c r="A15" s="106" t="s">
        <v>1641</v>
      </c>
      <c r="B15" s="106" t="s">
        <v>1631</v>
      </c>
      <c r="C15" s="106" t="s">
        <v>1642</v>
      </c>
      <c r="D15" s="106" t="s">
        <v>1643</v>
      </c>
    </row>
    <row r="16" customFormat="false" ht="21.75" hidden="false" customHeight="true" outlineLevel="0" collapsed="false">
      <c r="A16" s="105" t="s">
        <v>1644</v>
      </c>
      <c r="B16" s="105" t="s">
        <v>1623</v>
      </c>
      <c r="C16" s="105" t="s">
        <v>1645</v>
      </c>
      <c r="D16" s="105" t="s">
        <v>1646</v>
      </c>
    </row>
    <row r="17" customFormat="false" ht="21.75" hidden="false" customHeight="true" outlineLevel="0" collapsed="false">
      <c r="A17" s="106" t="s">
        <v>1647</v>
      </c>
      <c r="B17" s="106" t="s">
        <v>1648</v>
      </c>
      <c r="C17" s="106" t="s">
        <v>1649</v>
      </c>
      <c r="D17" s="106" t="s">
        <v>1650</v>
      </c>
    </row>
    <row r="18" customFormat="false" ht="21.75" hidden="false" customHeight="true" outlineLevel="0" collapsed="false">
      <c r="A18" s="105" t="s">
        <v>1651</v>
      </c>
      <c r="B18" s="105" t="s">
        <v>1648</v>
      </c>
      <c r="C18" s="105" t="s">
        <v>1652</v>
      </c>
      <c r="D18" s="105" t="s">
        <v>1653</v>
      </c>
    </row>
    <row r="19" customFormat="false" ht="21.75" hidden="false" customHeight="true" outlineLevel="0" collapsed="false">
      <c r="A19" s="106" t="s">
        <v>1654</v>
      </c>
      <c r="B19" s="106" t="s">
        <v>1648</v>
      </c>
      <c r="C19" s="106" t="s">
        <v>1655</v>
      </c>
      <c r="D19" s="106" t="s">
        <v>1656</v>
      </c>
    </row>
    <row r="21" customFormat="false" ht="15" hidden="false" customHeight="true" outlineLevel="0" collapsed="false">
      <c r="A21" s="72" t="s">
        <v>1657</v>
      </c>
      <c r="B21" s="72"/>
      <c r="C21" s="72"/>
      <c r="D21" s="72"/>
    </row>
    <row r="22" customFormat="false" ht="21.75" hidden="false" customHeight="true" outlineLevel="0" collapsed="false">
      <c r="A22" s="107" t="s">
        <v>1658</v>
      </c>
      <c r="B22" s="107"/>
      <c r="C22" s="107"/>
      <c r="D22" s="107"/>
    </row>
    <row r="23" customFormat="false" ht="21.75" hidden="false" customHeight="true" outlineLevel="0" collapsed="false">
      <c r="A23" s="107" t="s">
        <v>1659</v>
      </c>
      <c r="B23" s="107"/>
      <c r="C23" s="107"/>
      <c r="D23" s="107"/>
    </row>
    <row r="24" customFormat="false" ht="21.75" hidden="false" customHeight="true" outlineLevel="0" collapsed="false">
      <c r="A24" s="107" t="s">
        <v>1660</v>
      </c>
      <c r="B24" s="107"/>
      <c r="C24" s="107"/>
      <c r="D24" s="107"/>
    </row>
    <row r="25" customFormat="false" ht="21.75" hidden="false" customHeight="true" outlineLevel="0" collapsed="false">
      <c r="A25" s="107" t="s">
        <v>1661</v>
      </c>
      <c r="B25" s="107"/>
      <c r="C25" s="107"/>
      <c r="D25" s="107"/>
    </row>
    <row r="26" customFormat="false" ht="21.75" hidden="false" customHeight="true" outlineLevel="0" collapsed="false">
      <c r="A26" s="107" t="s">
        <v>1662</v>
      </c>
      <c r="B26" s="107"/>
      <c r="C26" s="107"/>
      <c r="D26" s="107"/>
    </row>
    <row r="27" customFormat="false" ht="21.75" hidden="false" customHeight="true" outlineLevel="0" collapsed="false">
      <c r="A27" s="107" t="s">
        <v>1663</v>
      </c>
      <c r="B27" s="107"/>
      <c r="C27" s="107"/>
      <c r="D27" s="107"/>
    </row>
    <row r="28" customFormat="false" ht="21.75" hidden="false" customHeight="true" outlineLevel="0" collapsed="false">
      <c r="A28" s="107" t="s">
        <v>1664</v>
      </c>
      <c r="B28" s="107"/>
      <c r="C28" s="107"/>
      <c r="D28" s="107"/>
    </row>
    <row r="29" customFormat="false" ht="21.75" hidden="false" customHeight="true" outlineLevel="0" collapsed="false">
      <c r="A29" s="107" t="s">
        <v>1665</v>
      </c>
      <c r="B29" s="107"/>
      <c r="C29" s="107"/>
      <c r="D29" s="107"/>
    </row>
  </sheetData>
  <mergeCells count="11">
    <mergeCell ref="A1:D1"/>
    <mergeCell ref="A2:D2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2026-05-19T00:55:35Z</dcterms:created>
  <dc:creator>openpyxl</dc:creator>
  <dc:description/>
  <dc:language>en-US</dc:language>
  <cp:lastModifiedBy/>
  <dcterms:modified xsi:type="dcterms:W3CDTF">2026-05-19T00:56:14Z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